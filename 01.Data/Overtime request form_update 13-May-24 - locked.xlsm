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01.AttendanceApp\01.Data\"/>
    </mc:Choice>
  </mc:AlternateContent>
  <xr:revisionPtr revIDLastSave="0" documentId="8_{559E0D8F-290C-4EF7-B6E7-463A1BFD1AAC}" xr6:coauthVersionLast="47" xr6:coauthVersionMax="47" xr10:uidLastSave="{00000000-0000-0000-0000-000000000000}"/>
  <bookViews>
    <workbookView xWindow="-108" yWindow="-108" windowWidth="23256" windowHeight="12456" xr2:uid="{0CD8F1A2-1DDB-4A76-A4CC-BE803A4D8570}"/>
  </bookViews>
  <sheets>
    <sheet name="OT request form" sheetId="3" r:id="rId1"/>
    <sheet name="HR data" sheetId="5" r:id="rId2"/>
    <sheet name="Data validation" sheetId="6" state="hidden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0">#REF!</definedName>
    <definedName name="\z">#REF!</definedName>
    <definedName name="_1">#REF!</definedName>
    <definedName name="_2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LEN" hidden="1" xlm="1">#NAME?</definedName>
    <definedName name="_xleta.YEAR" hidden="1" xlm="1">#NAME?</definedName>
    <definedName name="A">#REF!</definedName>
    <definedName name="AAA">'[1]MTL(AG)'!#REF!</definedName>
    <definedName name="B">#REF!</definedName>
    <definedName name="BE_TONG">#REF!</definedName>
    <definedName name="BLDG">[2]LEGEND!$D$8</definedName>
    <definedName name="CAC_CONG_TAC_BE_TONG">#REF!</definedName>
    <definedName name="CLIENT">[2]LEGEND!$D$6</definedName>
    <definedName name="COAT">#REF!</definedName>
    <definedName name="CONG_TAC_BE_TONG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S">#REF!</definedName>
    <definedName name="CS_STD">#REF!</definedName>
    <definedName name="CS_XS">#REF!</definedName>
    <definedName name="CS_XXS">#REF!</definedName>
    <definedName name="d">#REF!</definedName>
    <definedName name="ExternalData_1" localSheetId="1" hidden="1">'HR data'!$A$1:$I$654</definedName>
    <definedName name="FP">#REF!</definedName>
    <definedName name="HapCKVA">#REF!</definedName>
    <definedName name="HapCKvar">#REF!</definedName>
    <definedName name="HapCKW">#REF!</definedName>
    <definedName name="HapIKVA">#REF!</definedName>
    <definedName name="HapIKvar">#REF!</definedName>
    <definedName name="HapIKW">#REF!</definedName>
    <definedName name="HapKVA">#REF!</definedName>
    <definedName name="HapSKVA">#REF!</definedName>
    <definedName name="HapSKW">#REF!</definedName>
    <definedName name="HT_FSKHAC">#REF!</definedName>
    <definedName name="HT_SAN1">#REF!</definedName>
    <definedName name="HT_SAN2">#REF!</definedName>
    <definedName name="HT_SAN3">#REF!</definedName>
    <definedName name="HT_SANMAI">#REF!</definedName>
    <definedName name="HT_TRET">#REF!</definedName>
    <definedName name="IO">#REF!</definedName>
    <definedName name="kva">#REF!</definedName>
    <definedName name="LOCATION">[2]LEGEND!$D$7</definedName>
    <definedName name="MAT">#REF!</definedName>
    <definedName name="MF">#REF!</definedName>
    <definedName name="NHA_CHONG_TANG">#REF!</definedName>
    <definedName name="P">#REF!</definedName>
    <definedName name="PA">#REF!</definedName>
    <definedName name="PEJM">#REF!</definedName>
    <definedName name="PF">#REF!</definedName>
    <definedName name="PM">[3]IBASE!$AH$16:$AV$110</definedName>
    <definedName name="_xlnm.Print_Area" localSheetId="0">'OT request form'!$A$3:$P$52</definedName>
    <definedName name="Print_Area_MI">#REF!</definedName>
    <definedName name="Print_Titles_MI">#REF!</definedName>
    <definedName name="PRINTA">#REF!</definedName>
    <definedName name="prjName">#REF!</definedName>
    <definedName name="prjNo">#REF!</definedName>
    <definedName name="PROJ">[2]LEGEND!$D$4</definedName>
    <definedName name="RT">#REF!</definedName>
    <definedName name="SB">[3]IBASE!$AH$7:$AL$14</definedName>
    <definedName name="SL">#REF!</definedName>
    <definedName name="SORT">#REF!</definedName>
    <definedName name="SORT_AREA">'[4]DI-ESTI'!$A$8:$R$489</definedName>
    <definedName name="SP">#REF!</definedName>
    <definedName name="SUM">#REF!,#REF!</definedName>
    <definedName name="T">#REF!</definedName>
    <definedName name="test">#REF!</definedName>
    <definedName name="THK">#REF!</definedName>
    <definedName name="TI" hidden="1">#REF!</definedName>
    <definedName name="TOTAL">#REF!</definedName>
    <definedName name="TRUC_A">#REF!</definedName>
    <definedName name="TRUC_B">#REF!</definedName>
    <definedName name="TRUC_C">#REF!</definedName>
    <definedName name="TRUC_X">#REF!</definedName>
    <definedName name="TRUC_Z">#REF!</definedName>
    <definedName name="UP">#REF!,#REF!,#REF!,#REF!,#REF!,#REF!,#REF!,#REF!,#REF!,#REF!,#REF!</definedName>
    <definedName name="usd">[5]SUMMARY!$I$16</definedName>
    <definedName name="VAnPhong">[6]XL4Poppy!$A$15</definedName>
    <definedName name="VP_FSKHAC">#REF!</definedName>
    <definedName name="VP_SAN1">#REF!</definedName>
    <definedName name="VP_SAN2">#REF!</definedName>
    <definedName name="VP_SAN3">#REF!</definedName>
    <definedName name="VP_SANMAI">#REF!</definedName>
    <definedName name="VP_TRET">#REF!</definedName>
    <definedName name="XAY_TO">#REF!</definedName>
    <definedName name="ZYX">#REF!</definedName>
    <definedName name="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" i="3" l="1"/>
  <c r="D12" i="3"/>
  <c r="J12" i="3"/>
  <c r="J13" i="3"/>
  <c r="L13" i="3" s="1"/>
  <c r="J14" i="3"/>
  <c r="L14" i="3" s="1"/>
  <c r="J15" i="3"/>
  <c r="J16" i="3"/>
  <c r="L15" i="3"/>
  <c r="J17" i="3"/>
  <c r="L17" i="3" s="1"/>
  <c r="J18" i="3"/>
  <c r="L18" i="3"/>
  <c r="C24" i="3"/>
  <c r="C25" i="3"/>
  <c r="C26" i="3"/>
  <c r="C27" i="3"/>
  <c r="C35" i="3"/>
  <c r="C36" i="3"/>
  <c r="C37" i="3"/>
  <c r="C38" i="3"/>
  <c r="C39" i="3"/>
  <c r="C40" i="3"/>
  <c r="C41" i="3"/>
  <c r="C23" i="3"/>
  <c r="C28" i="3"/>
  <c r="C29" i="3"/>
  <c r="C30" i="3"/>
  <c r="C31" i="3"/>
  <c r="C32" i="3"/>
  <c r="C33" i="3"/>
  <c r="C34" i="3"/>
  <c r="C22" i="3"/>
  <c r="F1" i="3"/>
  <c r="O3" i="3" s="1"/>
  <c r="A2" i="6"/>
  <c r="E2" i="6" s="1"/>
  <c r="L12" i="3" l="1"/>
  <c r="O12" i="3" s="1"/>
  <c r="E32" i="6"/>
  <c r="E27" i="6"/>
  <c r="E37" i="6"/>
  <c r="E25" i="6"/>
  <c r="E36" i="6"/>
  <c r="E24" i="6"/>
  <c r="E35" i="6"/>
  <c r="E34" i="6"/>
  <c r="E33" i="6"/>
  <c r="E31" i="6"/>
  <c r="E30" i="6"/>
  <c r="E29" i="6"/>
  <c r="E40" i="6"/>
  <c r="E28" i="6"/>
  <c r="E39" i="6"/>
  <c r="E38" i="6"/>
  <c r="E26" i="6"/>
  <c r="E18" i="6"/>
  <c r="E20" i="6"/>
  <c r="E19" i="6"/>
  <c r="E17" i="6"/>
  <c r="E23" i="6"/>
  <c r="E22" i="6"/>
  <c r="E21" i="6"/>
  <c r="O18" i="3"/>
  <c r="O17" i="3"/>
  <c r="O15" i="3"/>
  <c r="O14" i="3"/>
  <c r="O13" i="3"/>
  <c r="L16" i="3"/>
  <c r="O16" i="3" s="1"/>
  <c r="E13" i="6"/>
  <c r="E14" i="6"/>
  <c r="E8" i="6"/>
  <c r="E7" i="6"/>
  <c r="E12" i="6"/>
  <c r="E11" i="6"/>
  <c r="E10" i="6"/>
  <c r="E9" i="6"/>
  <c r="E6" i="6"/>
  <c r="E5" i="6"/>
  <c r="E16" i="6"/>
  <c r="E4" i="6"/>
  <c r="E15" i="6"/>
  <c r="E3" i="6"/>
  <c r="F2" i="3" l="1"/>
  <c r="O19" i="3"/>
  <c r="N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1EF2CD-80CC-4D7A-A451-C1B72C302067}" keepAlive="1" interval="60" name="Query - Sum" description="Connection to the 'Sum' query in the workbook." type="5" refreshedVersion="8" background="1" saveData="1">
    <dbPr connection="Provider=Microsoft.Mashup.OleDb.1;Data Source=$Workbook$;Location=Sum;Extended Properties=&quot;&quot;" command="SELECT * FROM [Sum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<sst xmlns="http://schemas.openxmlformats.org/spreadsheetml/2006/main" count="5187" uniqueCount="1449">
  <si>
    <t>Nhóm</t>
  </si>
  <si>
    <t>STT</t>
  </si>
  <si>
    <t>Reviewed by:</t>
  </si>
  <si>
    <t>Xem xét bởi</t>
  </si>
  <si>
    <t>Chấp thuận bởi</t>
  </si>
  <si>
    <t>No</t>
  </si>
  <si>
    <t>Trưởng Bộ Phận</t>
  </si>
  <si>
    <t>Factory Manager</t>
  </si>
  <si>
    <t>Giám đốc Nhà máy</t>
  </si>
  <si>
    <r>
      <t>Other justifications/explanation</t>
    </r>
    <r>
      <rPr>
        <b/>
        <i/>
        <sz val="11"/>
        <color theme="1"/>
        <rFont val="MS PGothic"/>
        <family val="2"/>
      </rPr>
      <t xml:space="preserve"> </t>
    </r>
    <r>
      <rPr>
        <i/>
        <sz val="11"/>
        <color theme="1"/>
        <rFont val="MS PGothic"/>
        <family val="2"/>
      </rPr>
      <t>(Giải trình khác)</t>
    </r>
    <r>
      <rPr>
        <b/>
        <sz val="11"/>
        <color theme="1"/>
        <rFont val="MS PGothic"/>
        <family val="2"/>
      </rPr>
      <t>:</t>
    </r>
  </si>
  <si>
    <t>Prepaired by:</t>
  </si>
  <si>
    <t>Total Time:</t>
    <phoneticPr fontId="13"/>
  </si>
  <si>
    <t>(150%/200%/300%)</t>
    <phoneticPr fontId="13"/>
  </si>
  <si>
    <t>Approved by:</t>
  </si>
  <si>
    <t>Phê duyệt bởi</t>
  </si>
  <si>
    <t>Department Manager</t>
  </si>
  <si>
    <t>Trưởng nhóm</t>
  </si>
  <si>
    <t>Leader</t>
  </si>
  <si>
    <t>Group:</t>
  </si>
  <si>
    <t>Bộ phận</t>
  </si>
  <si>
    <t>TOTAL/ TỔNG CỘNG</t>
  </si>
  <si>
    <r>
      <t xml:space="preserve">Date/ </t>
    </r>
    <r>
      <rPr>
        <i/>
        <sz val="11"/>
        <color theme="1"/>
        <rFont val="MS PGothic"/>
        <family val="2"/>
      </rPr>
      <t>Ngày yêu cầu:</t>
    </r>
  </si>
  <si>
    <r>
      <t xml:space="preserve">( It must be approved by 15:00 / </t>
    </r>
    <r>
      <rPr>
        <i/>
        <sz val="11"/>
        <color theme="1"/>
        <rFont val="MS PGothic"/>
        <family val="2"/>
      </rPr>
      <t>Phải được phê duyệt trước 15 giờ</t>
    </r>
    <r>
      <rPr>
        <sz val="11"/>
        <color theme="1"/>
        <rFont val="MS PGothic"/>
        <family val="2"/>
      </rPr>
      <t>)</t>
    </r>
  </si>
  <si>
    <r>
      <t>OT Location/</t>
    </r>
    <r>
      <rPr>
        <i/>
        <sz val="11"/>
        <color theme="1"/>
        <rFont val="MS PGothic"/>
        <family val="2"/>
      </rPr>
      <t xml:space="preserve">Địa điểm làm thêm : </t>
    </r>
    <r>
      <rPr>
        <sz val="11"/>
        <color theme="1"/>
        <rFont val="MS PGothic"/>
        <family val="2"/>
      </rPr>
      <t>TORAY INTERNATIONAL VIETNAM COMPANY LIMITED - QUANG NGAI BRANCH/</t>
    </r>
    <r>
      <rPr>
        <i/>
        <sz val="11"/>
        <color theme="1"/>
        <rFont val="MS PGothic"/>
        <family val="2"/>
      </rPr>
      <t xml:space="preserve"> CÔNG TY TNHH TORAY INTERNATIONAL VIỆT NAM CN QUẢNG NGÃI </t>
    </r>
  </si>
  <si>
    <r>
      <t>Date/</t>
    </r>
    <r>
      <rPr>
        <i/>
        <sz val="11"/>
        <color theme="1"/>
        <rFont val="MS PGothic"/>
        <family val="2"/>
      </rPr>
      <t>Ngày</t>
    </r>
    <r>
      <rPr>
        <sz val="11"/>
        <color theme="1"/>
        <rFont val="MS PGothic"/>
        <family val="2"/>
      </rPr>
      <t>:</t>
    </r>
  </si>
  <si>
    <r>
      <t>OT From/</t>
    </r>
    <r>
      <rPr>
        <i/>
        <sz val="11"/>
        <color theme="1"/>
        <rFont val="MS PGothic"/>
        <family val="2"/>
      </rPr>
      <t xml:space="preserve">Làm thêm từ  </t>
    </r>
    <r>
      <rPr>
        <sz val="11"/>
        <color theme="1"/>
        <rFont val="MS PGothic"/>
        <family val="2"/>
      </rPr>
      <t xml:space="preserve">                            </t>
    </r>
  </si>
  <si>
    <r>
      <t xml:space="preserve">Fullname
</t>
    </r>
    <r>
      <rPr>
        <i/>
        <sz val="12"/>
        <color theme="1"/>
        <rFont val="MS PGothic"/>
        <family val="2"/>
      </rPr>
      <t>Họ tên</t>
    </r>
  </si>
  <si>
    <r>
      <t xml:space="preserve">Employee code
</t>
    </r>
    <r>
      <rPr>
        <b/>
        <i/>
        <sz val="12"/>
        <color theme="1"/>
        <rFont val="MS PGothic"/>
        <family val="2"/>
      </rPr>
      <t>MSNV</t>
    </r>
  </si>
  <si>
    <r>
      <t xml:space="preserve">Reson
</t>
    </r>
    <r>
      <rPr>
        <b/>
        <i/>
        <sz val="12"/>
        <color theme="1"/>
        <rFont val="MS PGothic"/>
        <family val="2"/>
      </rPr>
      <t>Lý do</t>
    </r>
  </si>
  <si>
    <r>
      <t xml:space="preserve">Signature
</t>
    </r>
    <r>
      <rPr>
        <b/>
        <i/>
        <sz val="12"/>
        <color theme="1"/>
        <rFont val="MS PGothic"/>
        <family val="2"/>
      </rPr>
      <t>Chữ ký</t>
    </r>
  </si>
  <si>
    <r>
      <t xml:space="preserve">To/ </t>
    </r>
    <r>
      <rPr>
        <i/>
        <sz val="11"/>
        <color theme="1"/>
        <rFont val="MS PGothic"/>
        <family val="2"/>
      </rPr>
      <t>Đến:</t>
    </r>
  </si>
  <si>
    <t>OVERTIME/HOLIDAY WORK APPLICATION FORM</t>
  </si>
  <si>
    <t>Section.:</t>
  </si>
  <si>
    <t>BẢN ĐĂNG KÝ LÀM THÊM GIỜ</t>
  </si>
  <si>
    <t>Line/ Team</t>
  </si>
  <si>
    <t>Fullname</t>
  </si>
  <si>
    <t>Working/Resigned</t>
  </si>
  <si>
    <t>Department</t>
  </si>
  <si>
    <t>Section</t>
  </si>
  <si>
    <t>Group</t>
  </si>
  <si>
    <t>Supporting</t>
  </si>
  <si>
    <t>Position</t>
  </si>
  <si>
    <t>Warehouse</t>
  </si>
  <si>
    <t>Translator</t>
  </si>
  <si>
    <t>Control</t>
  </si>
  <si>
    <t>Lê Thanh Phong</t>
  </si>
  <si>
    <t>Production</t>
  </si>
  <si>
    <t>Production Manager</t>
  </si>
  <si>
    <t>Cao Thị Hồng Thúy</t>
  </si>
  <si>
    <t>Operation Management</t>
  </si>
  <si>
    <t>Supply chain management</t>
  </si>
  <si>
    <t>Merchandiser</t>
  </si>
  <si>
    <t>HR/GA</t>
  </si>
  <si>
    <t>HR/GA Manager</t>
  </si>
  <si>
    <t>Trần Thị Mỹ Hạnh</t>
  </si>
  <si>
    <t>Sub leader</t>
  </si>
  <si>
    <t>Merchandiser subleader</t>
  </si>
  <si>
    <t>Trần Văn Ân</t>
  </si>
  <si>
    <t>Mechanic</t>
  </si>
  <si>
    <t>Mechanic leader</t>
  </si>
  <si>
    <t>Phùng Tấn Trạng</t>
  </si>
  <si>
    <t>Mechanic Sub leader</t>
  </si>
  <si>
    <t>Phạm Văn An</t>
  </si>
  <si>
    <t>Line 01</t>
  </si>
  <si>
    <t>Cao Thị Nhung</t>
  </si>
  <si>
    <t>Sewing</t>
  </si>
  <si>
    <t>Sewing Worker</t>
  </si>
  <si>
    <t>Line 03</t>
  </si>
  <si>
    <t>Cao Thị Thủy</t>
  </si>
  <si>
    <t>Sample</t>
  </si>
  <si>
    <t>Development&amp;Production Technology</t>
  </si>
  <si>
    <t>Nguyễn Thị Vân</t>
  </si>
  <si>
    <t>Line leader</t>
  </si>
  <si>
    <t>Line 11</t>
  </si>
  <si>
    <t>Lê Thị Quýt</t>
  </si>
  <si>
    <t>Utilities</t>
  </si>
  <si>
    <t>Đặng Thị Hồng Phương</t>
  </si>
  <si>
    <t>Sample Sub Leader</t>
  </si>
  <si>
    <t>Cao Thị Cẩm</t>
  </si>
  <si>
    <t>Line 09</t>
  </si>
  <si>
    <t>Nguyễn Thị Kim Oanh</t>
  </si>
  <si>
    <t>Lê Thị Hương Lan</t>
  </si>
  <si>
    <t>Sample worker</t>
  </si>
  <si>
    <t>Lương Thị Cẩm Vân</t>
  </si>
  <si>
    <t>Trần Thị Hiếu</t>
  </si>
  <si>
    <t>Line 04</t>
  </si>
  <si>
    <t>Trần Thị Thanh Đào</t>
  </si>
  <si>
    <t>Nguyễn Thị Thu Thảo</t>
  </si>
  <si>
    <t>Line 02</t>
  </si>
  <si>
    <t>Line 06</t>
  </si>
  <si>
    <t>Nguyễn Thị Lệ</t>
  </si>
  <si>
    <t>Đào Thị Kim Huệ</t>
  </si>
  <si>
    <t>Nguyễn Thị Tuyền</t>
  </si>
  <si>
    <t>Line 10</t>
  </si>
  <si>
    <t>Võ Thị Bích Duyên</t>
  </si>
  <si>
    <t>Nguyễn Thị Mỹ Nhi</t>
  </si>
  <si>
    <t>Trương Trần Phương Dung</t>
  </si>
  <si>
    <t>Utilities leader</t>
  </si>
  <si>
    <t>Phạm Thị Tâm</t>
  </si>
  <si>
    <t>Sample leader</t>
  </si>
  <si>
    <t>Nguyễn Hoàng Thảo Ni</t>
  </si>
  <si>
    <t>HRA Executive</t>
  </si>
  <si>
    <t>Đoàn Thị Kim Loan</t>
  </si>
  <si>
    <t>Trần Thị Kim Dung</t>
  </si>
  <si>
    <t>Đỗ Thị Hằng</t>
  </si>
  <si>
    <t>Production control staff</t>
  </si>
  <si>
    <t>Nguyễn Thị Yến Ni</t>
  </si>
  <si>
    <t>Accounting</t>
  </si>
  <si>
    <t>Chief Accountant</t>
  </si>
  <si>
    <t>Nguyễn Đình Ngân</t>
  </si>
  <si>
    <t>Electrician</t>
  </si>
  <si>
    <t>Logistics</t>
  </si>
  <si>
    <t>Logistics staff</t>
  </si>
  <si>
    <t>Lê Ngọc Vỹ</t>
  </si>
  <si>
    <t>Preparation</t>
  </si>
  <si>
    <t>Cutting Leader</t>
  </si>
  <si>
    <t>Pattern</t>
  </si>
  <si>
    <t>CAD</t>
  </si>
  <si>
    <t>Patterner</t>
  </si>
  <si>
    <t>Cutter</t>
  </si>
  <si>
    <t>Nguyễn Dự</t>
  </si>
  <si>
    <t>Nguyễn Thị Hà</t>
  </si>
  <si>
    <t>Võ Thị Hồng Trang</t>
  </si>
  <si>
    <t>Huỳnh Thị Loan</t>
  </si>
  <si>
    <t>Grand leader</t>
  </si>
  <si>
    <t>Nguyễn Thị Thuyền</t>
  </si>
  <si>
    <t>Nguyễn Công Biên</t>
  </si>
  <si>
    <t>Nguyễn Thị Thu Hà</t>
  </si>
  <si>
    <t>Nguyễn Thị Thu Dung</t>
  </si>
  <si>
    <t>Nguyễn Thị Kim Cúc</t>
  </si>
  <si>
    <t>Nguyễn Thị Tình</t>
  </si>
  <si>
    <t>Phù Thị Thúy Toa</t>
  </si>
  <si>
    <t>Nguyễn Thị Phượng Hằng</t>
  </si>
  <si>
    <t>Cao Thị Sang</t>
  </si>
  <si>
    <t>Võ Thị Kim Chung</t>
  </si>
  <si>
    <t>Thới Thị Thật</t>
  </si>
  <si>
    <t>Phạm Thị Mai</t>
  </si>
  <si>
    <t>Phạm Thị Ái My My</t>
  </si>
  <si>
    <t>Nguyễn Thị Bích Thảo</t>
  </si>
  <si>
    <t>Đặng Thị Kim Thùy</t>
  </si>
  <si>
    <t>Trần Thị Bích Mơ</t>
  </si>
  <si>
    <t>Võ Thị Kiều</t>
  </si>
  <si>
    <t>Line 05</t>
  </si>
  <si>
    <t>Dương Thị Kim Anh</t>
  </si>
  <si>
    <t>Nguyễn Thị Thảo</t>
  </si>
  <si>
    <t>Võ Thị Trang</t>
  </si>
  <si>
    <t>Lê Thị Kim Anh</t>
  </si>
  <si>
    <t>Nguyễn Thị Mỹ Lệ</t>
  </si>
  <si>
    <t>Đặng Thị Tha</t>
  </si>
  <si>
    <t>Hồ Thị Trầm</t>
  </si>
  <si>
    <t>Võ Thị Huệ</t>
  </si>
  <si>
    <t>Manager of Pattern</t>
  </si>
  <si>
    <t>Kimitaka Araya</t>
  </si>
  <si>
    <t>Manager of Development&amp;Production Technology</t>
  </si>
  <si>
    <t>QA</t>
  </si>
  <si>
    <t>QC</t>
  </si>
  <si>
    <t>Nguyễn Thị Anh Thư</t>
  </si>
  <si>
    <t>Nguyễn Thị Thùy</t>
  </si>
  <si>
    <t>Phạm Thị Phương</t>
  </si>
  <si>
    <t>Lê Thị Loan</t>
  </si>
  <si>
    <t>Line 08</t>
  </si>
  <si>
    <t>Nguyễn Thị Ngân</t>
  </si>
  <si>
    <t>Trương Thị An</t>
  </si>
  <si>
    <t>Nguyễn Thị Kim Tuyến</t>
  </si>
  <si>
    <t>Ngô Xuân Quỳnh</t>
  </si>
  <si>
    <t>Bùi Thị Xuân</t>
  </si>
  <si>
    <t>Nguyễn Thị Thủy</t>
  </si>
  <si>
    <t>Trần Thị Phương Thảo</t>
  </si>
  <si>
    <t>Nguyễn Thị Bé</t>
  </si>
  <si>
    <t>Nguyễn Thái Sơn</t>
  </si>
  <si>
    <t>IT Engineer</t>
  </si>
  <si>
    <t>Nurse</t>
  </si>
  <si>
    <t>Lê Thị Nhung</t>
  </si>
  <si>
    <t>Production preparation worker</t>
  </si>
  <si>
    <t>Hồ Thị Kim Liên</t>
  </si>
  <si>
    <t>Nguyễn Thị Nga</t>
  </si>
  <si>
    <t>Lê Thị Hoàng Lê</t>
  </si>
  <si>
    <t>Production Technology</t>
  </si>
  <si>
    <t>Lê Thị Xuân Hồng</t>
  </si>
  <si>
    <t>Lê Thị Việt Nga</t>
  </si>
  <si>
    <t>Embroider</t>
  </si>
  <si>
    <t>Phan Khắc Mẫn</t>
  </si>
  <si>
    <t>Production preparation Leader</t>
  </si>
  <si>
    <t>Trần Anh Thư</t>
  </si>
  <si>
    <t>Nguyễn Thị Thanh Thúy</t>
  </si>
  <si>
    <t>Accountant</t>
  </si>
  <si>
    <t>Nguyễn Thị Minh Anh</t>
  </si>
  <si>
    <t>IE Sub leader</t>
  </si>
  <si>
    <t>Nguyễn Thị Bé Hồng</t>
  </si>
  <si>
    <t>Đoàn Minh Vương</t>
  </si>
  <si>
    <t>Phạm Thị Thiện</t>
  </si>
  <si>
    <t>IE Staff</t>
  </si>
  <si>
    <t>Võ Thị Xuân Thảo</t>
  </si>
  <si>
    <t>Đỗ Thị Rơi</t>
  </si>
  <si>
    <t>Bùi Thị Anh</t>
  </si>
  <si>
    <t>Line 07</t>
  </si>
  <si>
    <t>Nguyễn Thị Hiền</t>
  </si>
  <si>
    <t>Nguyễn Thị Kim Yến</t>
  </si>
  <si>
    <t>Đỗ Thị Thanh Nhàn</t>
  </si>
  <si>
    <t>Trần Thị Thu Quyên</t>
  </si>
  <si>
    <t>Lê Thị Thu Mỹ</t>
  </si>
  <si>
    <t>Đặng Thị Thuận</t>
  </si>
  <si>
    <t>Merchandiser Leader</t>
  </si>
  <si>
    <t>Lâm Thị Bích Thủy</t>
  </si>
  <si>
    <t>Đỗ Thị Hồng Vấn</t>
  </si>
  <si>
    <t>Trịnh Quý Linh</t>
  </si>
  <si>
    <t>Lương Văn Hải</t>
  </si>
  <si>
    <t>Nguyễn Thị Triển</t>
  </si>
  <si>
    <t>Nguyễn Thị Mỹ</t>
  </si>
  <si>
    <t>Nguyễn Thị Triều</t>
  </si>
  <si>
    <t>Đỗ Thị Ngọc Tuyết</t>
  </si>
  <si>
    <t>Line technique</t>
  </si>
  <si>
    <t>Technical staff</t>
  </si>
  <si>
    <t>Trần Thị Thu</t>
  </si>
  <si>
    <t>Phan Thị Thu Thủy</t>
  </si>
  <si>
    <t>Nguyễn Thị Thân</t>
  </si>
  <si>
    <t>Lê Thị Nhân</t>
  </si>
  <si>
    <t>Nguyễn Thị Kim</t>
  </si>
  <si>
    <t>Lê Thị Xuân Nương</t>
  </si>
  <si>
    <t>Nguyễn Tấn Tài</t>
  </si>
  <si>
    <t>Nguyễn Thị Kim Ngân</t>
  </si>
  <si>
    <t>Võ Hồng Hạnh</t>
  </si>
  <si>
    <t>GA</t>
  </si>
  <si>
    <t>C&amp;B Executive</t>
  </si>
  <si>
    <t>Lê Thị Bích Kiều</t>
  </si>
  <si>
    <t>QC Worker</t>
  </si>
  <si>
    <t>Trương Văn Định</t>
  </si>
  <si>
    <t>QC Sub Leader</t>
  </si>
  <si>
    <t>Đỗ Ngọc Hiển</t>
  </si>
  <si>
    <t>Warehouse &amp; Material control staff</t>
  </si>
  <si>
    <t>Lê Phước Đạt</t>
  </si>
  <si>
    <t>Nguyễn Thị Kiều</t>
  </si>
  <si>
    <t>Hồ Thị Thùy Trang</t>
  </si>
  <si>
    <t>Ngô Thị Trà Giang</t>
  </si>
  <si>
    <t>Nguyễn Thị Hồng Hà</t>
  </si>
  <si>
    <t>Nguyễn Thị Hiếu</t>
  </si>
  <si>
    <t>Nguyễn Thị Bích Quỳnh</t>
  </si>
  <si>
    <t>Ao Thị Nương</t>
  </si>
  <si>
    <t>Phạm Thị Vân</t>
  </si>
  <si>
    <t>Hồ Thị Mỹ Thoa</t>
  </si>
  <si>
    <t>Nguyễn Thị Thương</t>
  </si>
  <si>
    <t>Nguyễn Quỳnh Như</t>
  </si>
  <si>
    <t>Nguyễn Thị Tường Vi</t>
  </si>
  <si>
    <t>Trần Thị Nở</t>
  </si>
  <si>
    <t>Nguyễn Thị Kim Mơ</t>
  </si>
  <si>
    <t>Đỗ Thị Trang</t>
  </si>
  <si>
    <t>Ngô Thị Huệ</t>
  </si>
  <si>
    <t>Bùi Thị Ánh Văn</t>
  </si>
  <si>
    <t>Nguyễn Thị Tám</t>
  </si>
  <si>
    <t>Đoàn Thị Thanh Trà</t>
  </si>
  <si>
    <t>Cao Thị Bích Hường</t>
  </si>
  <si>
    <t>Dương Thị Mỹ Trâm</t>
  </si>
  <si>
    <t>Lê Thị Xuân Thời</t>
  </si>
  <si>
    <t>Lê Thị Hạnh</t>
  </si>
  <si>
    <t>Nguyễn Thành Vinh</t>
  </si>
  <si>
    <t>Lê Văn Thành</t>
  </si>
  <si>
    <t>Pattern seamer</t>
  </si>
  <si>
    <t>Nguyễn Thị Trà My</t>
  </si>
  <si>
    <t>Trần Thị Thuận</t>
  </si>
  <si>
    <t>Võ Thị Thúy Hiền</t>
  </si>
  <si>
    <t>Warehouse worker</t>
  </si>
  <si>
    <t>Trần Thị Thanh Huyền</t>
  </si>
  <si>
    <t>Bồ Trọng Giang</t>
  </si>
  <si>
    <t>Phạm Hồng Phúc</t>
  </si>
  <si>
    <t>Nguyễn Duy Toàn</t>
  </si>
  <si>
    <t>General supporting team</t>
  </si>
  <si>
    <t>General supporting</t>
  </si>
  <si>
    <t>Phạm Thị Bích Hồng</t>
  </si>
  <si>
    <t>Võ Thị Lan</t>
  </si>
  <si>
    <t>Nguyễn Thị Thu</t>
  </si>
  <si>
    <t>Đoàn Thị Thanh Thùy</t>
  </si>
  <si>
    <t>Nguyễn Thùy Dương</t>
  </si>
  <si>
    <t>Nguyễn Thị Mỹ Thuyền</t>
  </si>
  <si>
    <t>Nguyễn Thị Mỹ Danh</t>
  </si>
  <si>
    <t>Phan Thị Thu Nhi</t>
  </si>
  <si>
    <t>Võ Đăng Trình</t>
  </si>
  <si>
    <t>Purchase</t>
  </si>
  <si>
    <t>Purchasing officer</t>
  </si>
  <si>
    <t>Hồ Ngọc Vũ</t>
  </si>
  <si>
    <t>Phùng Nguyễn Tố Uyên</t>
  </si>
  <si>
    <t>Canteen</t>
  </si>
  <si>
    <t>Canteen Manager</t>
  </si>
  <si>
    <t>Bùi Thị Mỹ Vận</t>
  </si>
  <si>
    <t>Nguyễn Thị Chi</t>
  </si>
  <si>
    <t>Bùi Nguyễn Thị Thúy Oanh</t>
  </si>
  <si>
    <t>Trần Thị Nha</t>
  </si>
  <si>
    <t>Trần Thị Tài</t>
  </si>
  <si>
    <t>Nguyễn Thị Phương Thi</t>
  </si>
  <si>
    <t>Ngô Thị Kim Trúc</t>
  </si>
  <si>
    <t>Nguyễn Thị Lợi</t>
  </si>
  <si>
    <t>Nguyễn Thị Hạnh</t>
  </si>
  <si>
    <t>Trương Thị Thủy</t>
  </si>
  <si>
    <t>Nguyễn Thị Duyên</t>
  </si>
  <si>
    <t>Phạm Thị Kiều</t>
  </si>
  <si>
    <t>Phạm Thị Hồng Kiều</t>
  </si>
  <si>
    <t>Huỳnh Thị Thu My</t>
  </si>
  <si>
    <t>Planning Leader</t>
  </si>
  <si>
    <t>Huỳnh Thị Nhân</t>
  </si>
  <si>
    <t>Nguyễn Thị Thúy Kiều</t>
  </si>
  <si>
    <t>Nguyễn Thị Ngọc Lệ</t>
  </si>
  <si>
    <t>Lê Thị Vương</t>
  </si>
  <si>
    <t>Sous Chef</t>
  </si>
  <si>
    <t>Chef</t>
  </si>
  <si>
    <t>Trương Thị Mai Sương</t>
  </si>
  <si>
    <t>Canteen Officer</t>
  </si>
  <si>
    <t>Lê Thị Mai</t>
  </si>
  <si>
    <t>Canteen supporter</t>
  </si>
  <si>
    <t>Lê Thị Phương</t>
  </si>
  <si>
    <t>Nguyễn Thị Tâm</t>
  </si>
  <si>
    <t>Võ Thị Linh</t>
  </si>
  <si>
    <t>Đoàn Thị Sen</t>
  </si>
  <si>
    <t>Hoàng Thị Diệu</t>
  </si>
  <si>
    <t>Nguyễn Thị Như Lý</t>
  </si>
  <si>
    <t>Huỳnh Thị Bé Dự</t>
  </si>
  <si>
    <t>Nguyễn Thị Như Tuyền</t>
  </si>
  <si>
    <t>Lê Thị Trinh Nữ</t>
  </si>
  <si>
    <t>Dương Thị Như Trâm</t>
  </si>
  <si>
    <t>Đặng Thị Mỹ</t>
  </si>
  <si>
    <t>Đặng Thị Thùy Vân</t>
  </si>
  <si>
    <t>Đỗ Hoàng Phương Trang</t>
  </si>
  <si>
    <t>Nguyễn Văn Trọng</t>
  </si>
  <si>
    <t>Trần Thị Hậu</t>
  </si>
  <si>
    <t>Nguyễn Thị Vi</t>
  </si>
  <si>
    <t>Nguyễn Tấn Việt</t>
  </si>
  <si>
    <t>Trần Thị Ly</t>
  </si>
  <si>
    <t>Bạch Thị Tịnh</t>
  </si>
  <si>
    <t>Nguyễn Thị Diệu</t>
  </si>
  <si>
    <t>Nguyễn Thị Kim Hạnh</t>
  </si>
  <si>
    <t>Lê Thị Danh</t>
  </si>
  <si>
    <t>Nguyễn Hoàng Điền</t>
  </si>
  <si>
    <t>Nguyễn Thị Em</t>
  </si>
  <si>
    <t>Trần Thị Xinh</t>
  </si>
  <si>
    <t>Nguyễn Thị Tuyết Trinh</t>
  </si>
  <si>
    <t>Nguyễn Thị Thúy</t>
  </si>
  <si>
    <t>Trainees</t>
  </si>
  <si>
    <t>Châu Thị Tâm</t>
  </si>
  <si>
    <t>Lê Thị Kiều Hoanh</t>
  </si>
  <si>
    <t>HSE Officer</t>
  </si>
  <si>
    <t>Huỳnh Thị Thơm</t>
  </si>
  <si>
    <t>Sewing worker</t>
  </si>
  <si>
    <t>Trần Thị Tin</t>
  </si>
  <si>
    <t>Võ Thị Lệ Hiền</t>
  </si>
  <si>
    <t>Nguyễn Thị Hoàng Trinh</t>
  </si>
  <si>
    <t>Võ Duy Trị</t>
  </si>
  <si>
    <t>Phạm Thị Thu Thùy</t>
  </si>
  <si>
    <t>Lý Thị Nữ</t>
  </si>
  <si>
    <t>Đỗ Thị Bích Liên</t>
  </si>
  <si>
    <t>CAD Leader</t>
  </si>
  <si>
    <t>Đặng Thị Kim Cúc</t>
  </si>
  <si>
    <t>Trần Thị Bích Phượng</t>
  </si>
  <si>
    <t>Logistics team Leader</t>
  </si>
  <si>
    <t>Statistical staff</t>
  </si>
  <si>
    <t>Trần Thị Ngọc Sen</t>
  </si>
  <si>
    <t>Nguyễn Thị Tuyết Nhung</t>
  </si>
  <si>
    <t>Nguyễn Thị Ly Na</t>
  </si>
  <si>
    <t>Tạ Thị Lan Huyền</t>
  </si>
  <si>
    <t>Hồ Thị Thúy Kiều</t>
  </si>
  <si>
    <t>Trần Thị Hoa</t>
  </si>
  <si>
    <t>Đặng Thị Chi</t>
  </si>
  <si>
    <t>Lê Thị Thuyền</t>
  </si>
  <si>
    <t>Nguyễn Thị Lưu</t>
  </si>
  <si>
    <t>Nguyễn Thị Dung</t>
  </si>
  <si>
    <t>Võ Thị Xuân</t>
  </si>
  <si>
    <t>Phan Văn Tiên</t>
  </si>
  <si>
    <t>Phạm Thị Nữ</t>
  </si>
  <si>
    <t>Lê Thị Hồng Tin</t>
  </si>
  <si>
    <t>Nguyễn Thị Ái Nam</t>
  </si>
  <si>
    <t>Bùi Thị Lắm</t>
  </si>
  <si>
    <t>Nguyễn Thị Nam</t>
  </si>
  <si>
    <t>Nguyễn Thị Tuyết Phương</t>
  </si>
  <si>
    <t>Nguyễn Thị Chung</t>
  </si>
  <si>
    <t>Đoàn Minh Chung</t>
  </si>
  <si>
    <t>Kiều Thị Mỹ Lan</t>
  </si>
  <si>
    <t>Huỳnh Thị Phương</t>
  </si>
  <si>
    <t>Dương Thị Thu Thúy</t>
  </si>
  <si>
    <t>Võ Thị Nguyệt</t>
  </si>
  <si>
    <t>Nguyễn Thị Ngọt</t>
  </si>
  <si>
    <t>Đỗ Thị Truyền</t>
  </si>
  <si>
    <t>Nguyễn Thị Ngọc Quý</t>
  </si>
  <si>
    <t>Nguyễn Thị Thu Vân</t>
  </si>
  <si>
    <t>Nguyễn Thị Liễu</t>
  </si>
  <si>
    <t>Bạch Thị Minh Hiếu</t>
  </si>
  <si>
    <t>Đinh Thị Yến</t>
  </si>
  <si>
    <t>Supporting worker</t>
  </si>
  <si>
    <t>Nguyễn Bính</t>
  </si>
  <si>
    <t>Nguyễn Đoàn Hương Giang</t>
  </si>
  <si>
    <t>Thân Thị Thu Trà</t>
  </si>
  <si>
    <t>Nguyễn Thị Mỹ Hương</t>
  </si>
  <si>
    <t>Võ Duy Thoại</t>
  </si>
  <si>
    <t>Đào Minh Hùng</t>
  </si>
  <si>
    <t>Phạm Ngọc</t>
  </si>
  <si>
    <t>Nguyễn Thị Thư</t>
  </si>
  <si>
    <t>Nguyễn Thị Giang</t>
  </si>
  <si>
    <t>Lê Thị Son</t>
  </si>
  <si>
    <t>Đinh Thị Thanh Hương</t>
  </si>
  <si>
    <t>Nguyễn Thị Hồng Hoa</t>
  </si>
  <si>
    <t>Trần Thị Hạng</t>
  </si>
  <si>
    <t>Lưu Thị Hương</t>
  </si>
  <si>
    <t>Nguyễn Trung Tâm</t>
  </si>
  <si>
    <t>Nguyễn Thị Bích Vân</t>
  </si>
  <si>
    <t>Cao Thị Mỹ Thắm</t>
  </si>
  <si>
    <t>Đồng Thị Như Quỳnh</t>
  </si>
  <si>
    <t>Nguyễn Thị Tường Vy</t>
  </si>
  <si>
    <t>Ngô Thị Trầm</t>
  </si>
  <si>
    <t>Lý Thị Kim Luyến</t>
  </si>
  <si>
    <t>Lưu Kim Thúy</t>
  </si>
  <si>
    <t>Lê Thị Diễm</t>
  </si>
  <si>
    <t>Phạm Thị Triều</t>
  </si>
  <si>
    <t>Huỳnh Thị Thu Hoa</t>
  </si>
  <si>
    <t>Huỳnh Thị Thu Trang</t>
  </si>
  <si>
    <t>Lê Thị Thúy</t>
  </si>
  <si>
    <t>Lê Thị Hiền</t>
  </si>
  <si>
    <t>Trần Thị Kim Phượng</t>
  </si>
  <si>
    <t>Lê Thôi</t>
  </si>
  <si>
    <t>Seam sealing sub leader</t>
  </si>
  <si>
    <t>Nguyễn Văn Trường</t>
  </si>
  <si>
    <t>Kiều Thị Việt Trinh</t>
  </si>
  <si>
    <t>Thới Thị Quyên</t>
  </si>
  <si>
    <t>Nguyễn Duy Ngọc</t>
  </si>
  <si>
    <t>Production tool controller</t>
  </si>
  <si>
    <t>Trương Quang Thắng</t>
  </si>
  <si>
    <t>Nguyễn An</t>
  </si>
  <si>
    <t>Nguyễn Thị Thuý Hằng</t>
  </si>
  <si>
    <t>Lê Thị Huệ</t>
  </si>
  <si>
    <t>Võ Thị Thu Hiền</t>
  </si>
  <si>
    <t>Planning staff</t>
  </si>
  <si>
    <t>Ngô Tấn Xịn</t>
  </si>
  <si>
    <t>Seam sealing - supporting leader</t>
  </si>
  <si>
    <t>Lương Thị Hoàng Oanh</t>
  </si>
  <si>
    <t>Nguyễn Thị Tuyết</t>
  </si>
  <si>
    <t>Đoàn Thị Nhàn</t>
  </si>
  <si>
    <t>Đào Thị Thanh</t>
  </si>
  <si>
    <t>Phạm Thị Ngọc Ánh</t>
  </si>
  <si>
    <t>Phạm Thị Phượng</t>
  </si>
  <si>
    <t>Lương Thị Lý</t>
  </si>
  <si>
    <t>Lê Thị Minh Tuyền</t>
  </si>
  <si>
    <t>Phạm Thị Nguyên</t>
  </si>
  <si>
    <t>Đỗ Thị Như Huyền</t>
  </si>
  <si>
    <t>Lê Thị Bích Đào</t>
  </si>
  <si>
    <t>Lý Thị Bích Thủy</t>
  </si>
  <si>
    <t>Võ Thanh Trinh</t>
  </si>
  <si>
    <t>Hồ Thị Ái Liên</t>
  </si>
  <si>
    <t>Nguyễn Phúc Trình</t>
  </si>
  <si>
    <t>Trương Thị Thảo</t>
  </si>
  <si>
    <t>Tô Thị Minh Nữ</t>
  </si>
  <si>
    <t>Trần Thị Lịnh</t>
  </si>
  <si>
    <t>Nguyễn Hữu Quý</t>
  </si>
  <si>
    <t>Võ Thị Ngọc Hạnh</t>
  </si>
  <si>
    <t>Nguyễn Thị Kim Liên</t>
  </si>
  <si>
    <t>Lê Thị Bích Trâm</t>
  </si>
  <si>
    <t>Phạm Thị Hồng Phước</t>
  </si>
  <si>
    <t>Tô Thị Bé Duyên</t>
  </si>
  <si>
    <t>Trần Thị Thúy Liểu</t>
  </si>
  <si>
    <t>Võ Thị Ba</t>
  </si>
  <si>
    <t>Phạm Thị Vỹ</t>
  </si>
  <si>
    <t>Trương Ngọc Thạch</t>
  </si>
  <si>
    <t>Nguyễn Thị Tư</t>
  </si>
  <si>
    <t>Shoji Izumi</t>
  </si>
  <si>
    <t>GM of Operation Management</t>
  </si>
  <si>
    <t>Supply chain Manager</t>
  </si>
  <si>
    <t>Võ Thị Lãnh</t>
  </si>
  <si>
    <t>Nguyễn Thị Công</t>
  </si>
  <si>
    <t>Phạm Thị Thu Thủy</t>
  </si>
  <si>
    <t>Lương Thị Thanh Hảo</t>
  </si>
  <si>
    <t xml:space="preserve">Trương Thị Thu  </t>
  </si>
  <si>
    <t>Phùng Thị Thanh Hoa</t>
  </si>
  <si>
    <t>Trần Thị Hồng Nương</t>
  </si>
  <si>
    <t>Phạm Thị Chi</t>
  </si>
  <si>
    <t>Phạm Thị Liên</t>
  </si>
  <si>
    <t>Đỗ Thị Hậu</t>
  </si>
  <si>
    <t>Phạm Trương Thành Ý</t>
  </si>
  <si>
    <t>Phạm Thị Minh Nguyệt</t>
  </si>
  <si>
    <t>Hồ Văn Phương</t>
  </si>
  <si>
    <t>Hồ Trọng Nghĩa</t>
  </si>
  <si>
    <t>Huỳnh Thị Kim</t>
  </si>
  <si>
    <t>Nguyễn Thị Huyền</t>
  </si>
  <si>
    <t>Phạm Thị Kim Loan</t>
  </si>
  <si>
    <t>Nguyễn Thị Kim Phượng</t>
  </si>
  <si>
    <t>Amagata Osamu</t>
  </si>
  <si>
    <t>Nguyễn Thị Trâm Anh</t>
  </si>
  <si>
    <t>Điền Thị Thanh Mẫn</t>
  </si>
  <si>
    <t>Nguyễn Thị Thanh Nga</t>
  </si>
  <si>
    <t>Lâm Thị Hồng Thùy</t>
  </si>
  <si>
    <t>Nguyễn Văn Pháp</t>
  </si>
  <si>
    <t>Phạm Viển</t>
  </si>
  <si>
    <t>Bùi Thị Bảo Yến</t>
  </si>
  <si>
    <t>QC worker</t>
  </si>
  <si>
    <t>Lê Thị Việt Bắc</t>
  </si>
  <si>
    <t>Đỗ Thị Minh Huệ</t>
  </si>
  <si>
    <t>Huỳnh Thị Nở</t>
  </si>
  <si>
    <t>Nguyễn Thị Mỹ Duyên</t>
  </si>
  <si>
    <t>Huỳnh Thị Thiết</t>
  </si>
  <si>
    <t>Ngô Thị Hằng</t>
  </si>
  <si>
    <t>Nguyễn Thị Như Ca</t>
  </si>
  <si>
    <t>Phạm Thị Nở</t>
  </si>
  <si>
    <t>Nguyễn Thị Hằng</t>
  </si>
  <si>
    <t>Phạm Thị Kim Ánh</t>
  </si>
  <si>
    <t>Trần Thị Hà</t>
  </si>
  <si>
    <t>Đỗ Thị Phượng</t>
  </si>
  <si>
    <t>Lê Thị Gấm</t>
  </si>
  <si>
    <t>Lê Thị Út</t>
  </si>
  <si>
    <t>Lâm Văn Tuấn</t>
  </si>
  <si>
    <t>Lê Văn Việt</t>
  </si>
  <si>
    <t>Nguyễn Thị Cẩm Loan</t>
  </si>
  <si>
    <t>Nguyễn Đình Nhu</t>
  </si>
  <si>
    <t>Nguyễn Thị Như Linh</t>
  </si>
  <si>
    <t>Nguyễn Thị Ái Phi</t>
  </si>
  <si>
    <t>Ngô Thị Bích Ly</t>
  </si>
  <si>
    <t>Võ Thị Ngọc Huyền</t>
  </si>
  <si>
    <t>Đoàn Thị Phương Thảo</t>
  </si>
  <si>
    <t>Võ Thị Huỳnh Trang</t>
  </si>
  <si>
    <t>Bùi Thị Bích Phượng</t>
  </si>
  <si>
    <t>Huỳnh Thị Kim Linh</t>
  </si>
  <si>
    <t>Nguyễn Thị Tiến</t>
  </si>
  <si>
    <t>Trần Thị Thu Hảo</t>
  </si>
  <si>
    <t>Lý Thị Kim Phường</t>
  </si>
  <si>
    <t>Production staff</t>
  </si>
  <si>
    <t>QA staff</t>
  </si>
  <si>
    <t>Từ Thị Phương</t>
  </si>
  <si>
    <t>Huỳnh Thị Thu Xuân</t>
  </si>
  <si>
    <t>Chương Thị Thao</t>
  </si>
  <si>
    <t>Nguyễn Thị Diện</t>
  </si>
  <si>
    <t>Nguyễn Thị Hồng Liên</t>
  </si>
  <si>
    <t>Nguyễn Thị Kim Anh</t>
  </si>
  <si>
    <t>Lê Thị Kim Thoa</t>
  </si>
  <si>
    <t>Huỳnh Thị Hậu</t>
  </si>
  <si>
    <t>Phan Thanh Hùng</t>
  </si>
  <si>
    <t>Trương Thị Trà My</t>
  </si>
  <si>
    <t>Nguyễn Thị Kim Thùy</t>
  </si>
  <si>
    <t>Trần Thị Tình</t>
  </si>
  <si>
    <t>Trần Hải Đăng</t>
  </si>
  <si>
    <t>Huỳnh Thị Mỹ Mến</t>
  </si>
  <si>
    <t>Nguyễn Văn Dự</t>
  </si>
  <si>
    <t>Đỗ Đình Sơn</t>
  </si>
  <si>
    <t>Nguyễn Thị Hồng Vinh</t>
  </si>
  <si>
    <t>Nguyễn Thị Lệ Kiều</t>
  </si>
  <si>
    <t>Cao Thị Thúy</t>
  </si>
  <si>
    <t>Nguyễn Thị Phước</t>
  </si>
  <si>
    <t>Nguyễn Thị Bích Hạnh</t>
  </si>
  <si>
    <t>Bùi Thị Lệ Mỹ</t>
  </si>
  <si>
    <t>Phạm Thị Mỹ Vân</t>
  </si>
  <si>
    <t>Bùi Thị Quý</t>
  </si>
  <si>
    <t>Huỳnh Thị Hồng Khương</t>
  </si>
  <si>
    <t>Trần Thị Ngà</t>
  </si>
  <si>
    <t>Trương Thị Thu Phượng</t>
  </si>
  <si>
    <t>Phạm Thị Ngọc Lài</t>
  </si>
  <si>
    <t>Lê Thị Mỹ Dung</t>
  </si>
  <si>
    <t>Nguyễn Thị Hoàng</t>
  </si>
  <si>
    <t>Đỗ Thị Minh Kỷ</t>
  </si>
  <si>
    <t>Phạm Thị Hạnh</t>
  </si>
  <si>
    <t>Lâm Thị Mỹ Vân</t>
  </si>
  <si>
    <t>Lê Thị Thùy Thân</t>
  </si>
  <si>
    <t>Phan Thị Thanh Thúy</t>
  </si>
  <si>
    <t>Phạm Thị Nguyệt</t>
  </si>
  <si>
    <t>Ngô Thị Kim Tuyết</t>
  </si>
  <si>
    <t>Nguyễn Thị Kim Tuyền</t>
  </si>
  <si>
    <t>Huỳnh Tân Ngọc Ân</t>
  </si>
  <si>
    <t>Đoàn Thị Hạnh</t>
  </si>
  <si>
    <t>Nguyễn Thị Kim Hằng</t>
  </si>
  <si>
    <t>Huỳnh Thị Anh Thư</t>
  </si>
  <si>
    <t>Hồ Thị Tường Vi</t>
  </si>
  <si>
    <t>Nguyễn Thị Hồng</t>
  </si>
  <si>
    <t>Nguyễn Thị Ngọc Hiền</t>
  </si>
  <si>
    <t>Lê Đại Quang</t>
  </si>
  <si>
    <t>Lê Thị Minh Sang</t>
  </si>
  <si>
    <t>Lê Nguyễn Y Phượng</t>
  </si>
  <si>
    <t>Phạm Nguyễn Ngọc Phúc</t>
  </si>
  <si>
    <t>Preparation Manager</t>
  </si>
  <si>
    <t>La Thị Tiến</t>
  </si>
  <si>
    <t>Sample Worker</t>
  </si>
  <si>
    <t>Hoàng Thị Hợi</t>
  </si>
  <si>
    <t>Nguyễn Thương Huyền Trang</t>
  </si>
  <si>
    <t>Lê Thị Thùy Dung</t>
  </si>
  <si>
    <t>Bùi Thị Tuyết Vân</t>
  </si>
  <si>
    <t>Nguyễn Thị Dương Quyến</t>
  </si>
  <si>
    <t>Lê Thị Ly</t>
  </si>
  <si>
    <t>Phạm Thị Mến</t>
  </si>
  <si>
    <t>Huỳnh Thị Kim Liên</t>
  </si>
  <si>
    <t>Nguyễn Thị Ngọc Anh</t>
  </si>
  <si>
    <t>Vũ Dương Vi Thảo</t>
  </si>
  <si>
    <t>Phạm Ni Na</t>
  </si>
  <si>
    <t>Đỗ Thị Thắm</t>
  </si>
  <si>
    <t>Ngô Thị Hường</t>
  </si>
  <si>
    <t>Võ Thị Lai</t>
  </si>
  <si>
    <t>Văn Thị Thu Bích</t>
  </si>
  <si>
    <t>Trần Thị Ngân</t>
  </si>
  <si>
    <t>Nguyễn Thị Như Quỳnh</t>
  </si>
  <si>
    <t>Đỗ Thị Lài</t>
  </si>
  <si>
    <t>Khương Khánh Linh</t>
  </si>
  <si>
    <t>Trịnh Duy Cảnh</t>
  </si>
  <si>
    <t>Phan Thị Nương</t>
  </si>
  <si>
    <t>Đặng Thị Thanh Hằng</t>
  </si>
  <si>
    <t>Đào Ngọc Cần</t>
  </si>
  <si>
    <t>Phạm Ngọc Cường</t>
  </si>
  <si>
    <t>Nguyễn Quang Lợi</t>
  </si>
  <si>
    <t>Hoàng Văn Bảy</t>
  </si>
  <si>
    <t>Trương Vũ Cường</t>
  </si>
  <si>
    <t>Dương Thị Lưu</t>
  </si>
  <si>
    <t>Nguyễn Vũ Thái Uyên</t>
  </si>
  <si>
    <t>Merchandising subleader</t>
  </si>
  <si>
    <t>Ngô Thị Minh Hoa</t>
  </si>
  <si>
    <t>Lê Thị Minh Tuyến</t>
  </si>
  <si>
    <t>Đỗ Vũ Tín</t>
  </si>
  <si>
    <t>IT Leader</t>
  </si>
  <si>
    <t>Phạm Thị Hồng Nga</t>
  </si>
  <si>
    <t>Lê Văn Tồn</t>
  </si>
  <si>
    <t>Dương Thanh Tùng</t>
  </si>
  <si>
    <t>Huỳnh Thị Kim Tính</t>
  </si>
  <si>
    <t>Nguyễn Ngọc Thân</t>
  </si>
  <si>
    <t>Đặng Thị Duyên</t>
  </si>
  <si>
    <t>Trần Thị Kim Hương</t>
  </si>
  <si>
    <t>Mai Ngọc Ý</t>
  </si>
  <si>
    <t>Hồng Thị Huệ</t>
  </si>
  <si>
    <t>Nguyễn Thị Diễm</t>
  </si>
  <si>
    <t>Châu Thị Thanh Thúy</t>
  </si>
  <si>
    <t>Nguyễn Bùi Nguyệt Nga</t>
  </si>
  <si>
    <t>Production preparation staff</t>
  </si>
  <si>
    <t>Nguyễn Thị Thu Kiều</t>
  </si>
  <si>
    <t>Bùi Thị Tiên</t>
  </si>
  <si>
    <t>Sample coordinator</t>
  </si>
  <si>
    <t>Nguyễn Thị Xuân Nhật</t>
  </si>
  <si>
    <t>Nguyễn Thế Tỉnh</t>
  </si>
  <si>
    <t>Warehouse leader</t>
  </si>
  <si>
    <t>Nguyễn Thị Kim Thương</t>
  </si>
  <si>
    <t>Nguyễn Thị Hường</t>
  </si>
  <si>
    <t>Lê Thị Nga</t>
  </si>
  <si>
    <t>Nguyễn Thị Ánh Tiết</t>
  </si>
  <si>
    <t>Nguyễn Thị Hồng Vấn</t>
  </si>
  <si>
    <t>Nguyễn Thị Thanh Thanh</t>
  </si>
  <si>
    <t>Nguyễn Thị Ngọc Ánh</t>
  </si>
  <si>
    <t>Nguyễn Văn Chung</t>
  </si>
  <si>
    <t>Võ Thị Kim Yến</t>
  </si>
  <si>
    <t>Junior Merchandiser</t>
  </si>
  <si>
    <t>Nguyễn Văn Thuần</t>
  </si>
  <si>
    <t>Trần Thị Nguyền</t>
  </si>
  <si>
    <t>Hà Thị Lệ Huyền</t>
  </si>
  <si>
    <t>Nguyễn Thị Hồng Ly</t>
  </si>
  <si>
    <t>Nguyễn Thị Bích Chính</t>
  </si>
  <si>
    <t>Đoàn Thị Thu Duyên</t>
  </si>
  <si>
    <t>Lương Thị Minh Châu</t>
  </si>
  <si>
    <t>Đinh Thị Tốt</t>
  </si>
  <si>
    <t>Võ Thị Minh Huệ</t>
  </si>
  <si>
    <t>Đào Thị Ngọc Mến</t>
  </si>
  <si>
    <t>Trần Thị Lưu</t>
  </si>
  <si>
    <t>Huỳnh Thị Thương</t>
  </si>
  <si>
    <t>Nguyễn Thị Thu Thủy</t>
  </si>
  <si>
    <t>Lê Thị Thảo</t>
  </si>
  <si>
    <t>Bùi Thị Ly</t>
  </si>
  <si>
    <t>Trịnh Thị Hằng</t>
  </si>
  <si>
    <t>Lê Minh Tâm</t>
  </si>
  <si>
    <t>Đỗ Thị Cẩm Vi</t>
  </si>
  <si>
    <t>Nguyễn Thị Kim Phương</t>
  </si>
  <si>
    <t>Châu Văn Chí</t>
  </si>
  <si>
    <t>Hoàng Thị Thu Trang</t>
  </si>
  <si>
    <t>Võ Thị Loan</t>
  </si>
  <si>
    <t>Tôn Thị Mỹ Trang</t>
  </si>
  <si>
    <t>Võ Ngọc Tuân</t>
  </si>
  <si>
    <t>Lương Thị Kim Liên</t>
  </si>
  <si>
    <t>Nguyễn Thị Minh Thùy</t>
  </si>
  <si>
    <t>Phan Thị Thương</t>
  </si>
  <si>
    <t>Phạm Thị Oanh</t>
  </si>
  <si>
    <t>Nguyễn Ngọc Bình</t>
  </si>
  <si>
    <t>Phạm Hướng Dương</t>
  </si>
  <si>
    <t>Hasegawa Ryoko</t>
  </si>
  <si>
    <t>Deputy Manager of Development&amp;Production Technology</t>
  </si>
  <si>
    <t>Nguyễn Thị Kim Ngọc</t>
  </si>
  <si>
    <t>Võ Thị Lên</t>
  </si>
  <si>
    <t>Nguyễn Thị Tứ</t>
  </si>
  <si>
    <t>Bùi Thị Nhân</t>
  </si>
  <si>
    <t>Võ Thị Luyến</t>
  </si>
  <si>
    <t>Nguyễn Thị Thanh Thương</t>
  </si>
  <si>
    <t>Dương Thị Thu Vân</t>
  </si>
  <si>
    <t>Lê Thị Thu Hương</t>
  </si>
  <si>
    <t>Nguyễn Mậu Kiều My</t>
  </si>
  <si>
    <t>Phạm Lâm Sanh</t>
  </si>
  <si>
    <t>Nguyễn Thị Thanh</t>
  </si>
  <si>
    <t>Nguyễn Thị Kim Thao</t>
  </si>
  <si>
    <t>Nguyễn Thị Bộ</t>
  </si>
  <si>
    <t>Trần Thị Kim Oanh</t>
  </si>
  <si>
    <t>Trịnh Hữu Hiệu</t>
  </si>
  <si>
    <t>Dương Thị Thúy Ngân</t>
  </si>
  <si>
    <t>Nguyễn Thị Mến</t>
  </si>
  <si>
    <t>Đỗ Thị Bích</t>
  </si>
  <si>
    <t>Trần Thị Nương</t>
  </si>
  <si>
    <t>Lê Thị Chi</t>
  </si>
  <si>
    <t>Lê Thị Hồng Gấm</t>
  </si>
  <si>
    <t>Nguyễn Thị Tú Cẩm</t>
  </si>
  <si>
    <t>Phạm Thị Hiền</t>
  </si>
  <si>
    <t>Trần Văn Trực</t>
  </si>
  <si>
    <t>Trần Minh Quang</t>
  </si>
  <si>
    <t>Huỳnh Ngọc Triêm</t>
  </si>
  <si>
    <t>Phạm Thị Bảy</t>
  </si>
  <si>
    <t>Trần Thị Tố Tâm</t>
  </si>
  <si>
    <t>Lê Thị Hồng Cẩm</t>
  </si>
  <si>
    <t>Phan Thị Thu Thuyền</t>
  </si>
  <si>
    <t>Nguyễn Thị Lệ Diễm</t>
  </si>
  <si>
    <t>Trần Thị Kim Ngân</t>
  </si>
  <si>
    <t>Nguyễn Thanh Thị Ngọc</t>
  </si>
  <si>
    <t>Line 7</t>
  </si>
  <si>
    <t>Phạm Thị Tuyết</t>
  </si>
  <si>
    <t>Nguyễn Thị Trang</t>
  </si>
  <si>
    <t>Bùi Thị Thương Mến</t>
  </si>
  <si>
    <t>Trần Thị Phụng</t>
  </si>
  <si>
    <t>Nguyễn Thị Sim</t>
  </si>
  <si>
    <t>Lê Thanh Tuấn</t>
  </si>
  <si>
    <t>Trương Minh Vũ</t>
  </si>
  <si>
    <t>Trương Thị Nguyên</t>
  </si>
  <si>
    <t>Nguyễn Thị Kim Lin</t>
  </si>
  <si>
    <t>Nguyễn Văn Luân</t>
  </si>
  <si>
    <t>Nguyễn Thị Hòa Tân</t>
  </si>
  <si>
    <t>Nguyễn Thị Thanh Phương</t>
  </si>
  <si>
    <t>Trương Thị Thuận</t>
  </si>
  <si>
    <t>Dương Thị Bé Ích</t>
  </si>
  <si>
    <t>Ngô Thị Nga</t>
  </si>
  <si>
    <t>Nguyễn Thị Trúc Hương</t>
  </si>
  <si>
    <t>Nguyễn Duy Trình</t>
  </si>
  <si>
    <t>Ngô Thị Nở</t>
  </si>
  <si>
    <t>Lê Duy Nhất</t>
  </si>
  <si>
    <t>Bùi Thị Thu</t>
  </si>
  <si>
    <t>Phạm Thị Phi Diễm</t>
  </si>
  <si>
    <t>Đào Thị Kim Trâm</t>
  </si>
  <si>
    <t>Hà Thị Thu Thủy</t>
  </si>
  <si>
    <t>Lê Văn Hải</t>
  </si>
  <si>
    <t>Hà Thị Huyền Trâm</t>
  </si>
  <si>
    <t>Lê Thị Thu Sương</t>
  </si>
  <si>
    <t>Nguyễn Anh Tuấn</t>
  </si>
  <si>
    <t>Hori Shotaro</t>
  </si>
  <si>
    <t>Nguyễn Thị Trà Vi</t>
  </si>
  <si>
    <t>Kitajima Motoharu</t>
  </si>
  <si>
    <t>Huỳnh Thị Vân</t>
  </si>
  <si>
    <t>Phạm Thị Phương Mai</t>
  </si>
  <si>
    <t>Lê Thị Thu Tâm</t>
  </si>
  <si>
    <t>Kiều Thị Mỹ Liên</t>
  </si>
  <si>
    <t>Đặng Thị Thanh Yến</t>
  </si>
  <si>
    <t>Đặng Thị Chung</t>
  </si>
  <si>
    <t>Nguyễn Trần Kiều Nga</t>
  </si>
  <si>
    <t>Thới Thị Lệ Phi</t>
  </si>
  <si>
    <t>Đoàn Thị Cẩm Anh</t>
  </si>
  <si>
    <t>Đoàn Thị Minh Hường</t>
  </si>
  <si>
    <t>Đoàn Thị Thơm</t>
  </si>
  <si>
    <t>Nguyễn Thị Thanh Hường</t>
  </si>
  <si>
    <t>QC Subleader</t>
  </si>
  <si>
    <t>line 08</t>
  </si>
  <si>
    <t>Lê Lâm Phương</t>
  </si>
  <si>
    <t>Huỳnh Tấn Viên</t>
  </si>
  <si>
    <t>Nguyễn Thị Tuyết Loan</t>
  </si>
  <si>
    <t>Hồ Văn Nhím</t>
  </si>
  <si>
    <t>Lương Hồng Tiếng</t>
  </si>
  <si>
    <t>Trương Đăng Đến</t>
  </si>
  <si>
    <t>Lê Thị Bình</t>
  </si>
  <si>
    <t>Võ Thị Lợi</t>
  </si>
  <si>
    <t>Phạm Thị Quỳnh Trang</t>
  </si>
  <si>
    <t>Nguyễn Thị Thanh Truyền</t>
  </si>
  <si>
    <t>Võ Thị Mến</t>
  </si>
  <si>
    <t>Vũ Thị Tuyết Nhung</t>
  </si>
  <si>
    <t>Lê Thị Tuyết Minh</t>
  </si>
  <si>
    <t>Châu Thị Phước Hằng</t>
  </si>
  <si>
    <t>Đặng Thị Nhị</t>
  </si>
  <si>
    <t>Nguyễn Thị Tuyên</t>
  </si>
  <si>
    <t>Nguyễn Vũ Lan Vi</t>
  </si>
  <si>
    <t>Đặng Quốc Nhật</t>
  </si>
  <si>
    <t>Nguyễn Long Sinh</t>
  </si>
  <si>
    <t>Lê Thanh Sỹ</t>
  </si>
  <si>
    <t>Lê Võ Bảo Hòa</t>
  </si>
  <si>
    <t>Dương Thị Như Hiếu</t>
  </si>
  <si>
    <t>HR/GA staff</t>
  </si>
  <si>
    <t>Nguyễn Thị Hiệp</t>
  </si>
  <si>
    <t>Đỗ Văn Cảm</t>
  </si>
  <si>
    <t>Trần Văn Thái</t>
  </si>
  <si>
    <t>Dương Thị Thúy</t>
  </si>
  <si>
    <t>group</t>
  </si>
  <si>
    <t>line team</t>
  </si>
  <si>
    <t>today</t>
  </si>
  <si>
    <t>date</t>
  </si>
  <si>
    <r>
      <t>Date/</t>
    </r>
    <r>
      <rPr>
        <i/>
        <sz val="11"/>
        <color theme="1"/>
        <rFont val="MS PGothic"/>
        <family val="2"/>
      </rPr>
      <t>Ngày</t>
    </r>
  </si>
  <si>
    <t>TORAY INTERNATIONAL VIETNAM COMPANY LIMITED - QUANG NGAI BRANCH
CÔNG TY TNHH TORAY INTERNATIONAL VIỆT NAM CN QUẢNG NGÃI 
No. 09, Tu Do Boulevard, VSIP/ Số 09, Đại Lộ Tự Do, KCN Việt Nam - Singapore
Tinh Tho Commune, Son Tinh District/  Xã Tịnh Thọ, Huyện SơnTịnh
Quang Ngai Province, Viet Nam/ Tỉnh Quãng Ngãi, Việt Nam</t>
  </si>
  <si>
    <t>time</t>
  </si>
  <si>
    <t>now</t>
  </si>
  <si>
    <t>QR code</t>
  </si>
  <si>
    <t>17:00</t>
  </si>
  <si>
    <t>16:00</t>
  </si>
  <si>
    <t>folder</t>
  </si>
  <si>
    <t>O:\</t>
  </si>
  <si>
    <t>Request No :</t>
  </si>
  <si>
    <t>0009</t>
  </si>
  <si>
    <t>--</t>
  </si>
  <si>
    <t>Emp Code.1</t>
  </si>
  <si>
    <t>Emp Code.2</t>
  </si>
  <si>
    <t>TIQN-</t>
  </si>
  <si>
    <t>0002</t>
  </si>
  <si>
    <t>0003</t>
  </si>
  <si>
    <t>0005</t>
  </si>
  <si>
    <t>0006</t>
  </si>
  <si>
    <t>0007</t>
  </si>
  <si>
    <t>0008</t>
  </si>
  <si>
    <t>0010</t>
  </si>
  <si>
    <t>0013</t>
  </si>
  <si>
    <t>0015</t>
  </si>
  <si>
    <t>0017</t>
  </si>
  <si>
    <t>0019</t>
  </si>
  <si>
    <t>0020</t>
  </si>
  <si>
    <t>0022</t>
  </si>
  <si>
    <t>0023</t>
  </si>
  <si>
    <t>0024</t>
  </si>
  <si>
    <t>0027</t>
  </si>
  <si>
    <t>0031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</si>
  <si>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</si>
  <si>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</si>
  <si>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</si>
  <si>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</si>
  <si>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</si>
  <si>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</si>
  <si>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</si>
  <si>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</si>
  <si>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</si>
  <si>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0044</t>
  </si>
  <si>
    <t>0045</t>
  </si>
  <si>
    <t>0047</t>
  </si>
  <si>
    <t>0050</t>
  </si>
  <si>
    <t>0054</t>
  </si>
  <si>
    <t>0055</t>
  </si>
  <si>
    <t>0056</t>
  </si>
  <si>
    <t>0057</t>
  </si>
  <si>
    <t>0061</t>
  </si>
  <si>
    <t>0063</t>
  </si>
  <si>
    <t>0066</t>
  </si>
  <si>
    <t>0067</t>
  </si>
  <si>
    <t>0068</t>
  </si>
  <si>
    <t>0071</t>
  </si>
  <si>
    <t>0079</t>
  </si>
  <si>
    <t>0081</t>
  </si>
  <si>
    <t>0082</t>
  </si>
  <si>
    <t>0083</t>
  </si>
  <si>
    <t>0084</t>
  </si>
  <si>
    <t>0089</t>
  </si>
  <si>
    <t>0090</t>
  </si>
  <si>
    <t>0091</t>
  </si>
  <si>
    <t>0093</t>
  </si>
  <si>
    <t>0094</t>
  </si>
  <si>
    <t>0097</t>
  </si>
  <si>
    <t>0100</t>
  </si>
  <si>
    <t>0106</t>
  </si>
  <si>
    <t>0108</t>
  </si>
  <si>
    <t>0120</t>
  </si>
  <si>
    <t>0124</t>
  </si>
  <si>
    <t>0128</t>
  </si>
  <si>
    <t>0133</t>
  </si>
  <si>
    <t>0135</t>
  </si>
  <si>
    <t>0136</t>
  </si>
  <si>
    <t>0137</t>
  </si>
  <si>
    <t>0139</t>
  </si>
  <si>
    <t>0140</t>
  </si>
  <si>
    <t>0141</t>
  </si>
  <si>
    <t>0143</t>
  </si>
  <si>
    <t>0145</t>
  </si>
  <si>
    <t>0147</t>
  </si>
  <si>
    <t>0148</t>
  </si>
  <si>
    <t>0150</t>
  </si>
  <si>
    <t>0151</t>
  </si>
  <si>
    <t>0154</t>
  </si>
  <si>
    <t>0155</t>
  </si>
  <si>
    <t>0156</t>
  </si>
  <si>
    <t>0157</t>
  </si>
  <si>
    <t>0158</t>
  </si>
  <si>
    <t>0160</t>
  </si>
  <si>
    <t>0162</t>
  </si>
  <si>
    <t>0163</t>
  </si>
  <si>
    <t>0164</t>
  </si>
  <si>
    <t>0165</t>
  </si>
  <si>
    <t>0167</t>
  </si>
  <si>
    <t>0168</t>
  </si>
  <si>
    <t>0172</t>
  </si>
  <si>
    <t>0173</t>
  </si>
  <si>
    <t>0175</t>
  </si>
  <si>
    <t>0176</t>
  </si>
  <si>
    <t>0178</t>
  </si>
  <si>
    <t>0180</t>
  </si>
  <si>
    <t>0183</t>
  </si>
  <si>
    <t>0184</t>
  </si>
  <si>
    <t>0185</t>
  </si>
  <si>
    <t>0191</t>
  </si>
  <si>
    <t>0195</t>
  </si>
  <si>
    <t>0196</t>
  </si>
  <si>
    <t>0197</t>
  </si>
  <si>
    <t>0198</t>
  </si>
  <si>
    <t>0199</t>
  </si>
  <si>
    <t>0203</t>
  </si>
  <si>
    <t>0204</t>
  </si>
  <si>
    <t>0206</t>
  </si>
  <si>
    <t>0207</t>
  </si>
  <si>
    <t>0208</t>
  </si>
  <si>
    <t>0210</t>
  </si>
  <si>
    <t>0213</t>
  </si>
  <si>
    <t>0215</t>
  </si>
  <si>
    <t>0216</t>
  </si>
  <si>
    <t>0221</t>
  </si>
  <si>
    <t>0222</t>
  </si>
  <si>
    <t>0224</t>
  </si>
  <si>
    <t>0226</t>
  </si>
  <si>
    <t>0227</t>
  </si>
  <si>
    <t>0231</t>
  </si>
  <si>
    <t>0232</t>
  </si>
  <si>
    <t>0233</t>
  </si>
  <si>
    <t>0239</t>
  </si>
  <si>
    <t>0240</t>
  </si>
  <si>
    <t>0242</t>
  </si>
  <si>
    <t>0246</t>
  </si>
  <si>
    <t>0247</t>
  </si>
  <si>
    <t>0250</t>
  </si>
  <si>
    <t>0253</t>
  </si>
  <si>
    <t>0254</t>
  </si>
  <si>
    <t>0257</t>
  </si>
  <si>
    <t>0258</t>
  </si>
  <si>
    <t>0259</t>
  </si>
  <si>
    <t>0260</t>
  </si>
  <si>
    <t>0261</t>
  </si>
  <si>
    <t>0262</t>
  </si>
  <si>
    <t>0264</t>
  </si>
  <si>
    <t>0266</t>
  </si>
  <si>
    <t>0269</t>
  </si>
  <si>
    <t>0273</t>
  </si>
  <si>
    <t>0274</t>
  </si>
  <si>
    <t>0275</t>
  </si>
  <si>
    <t>0279</t>
  </si>
  <si>
    <t>0280</t>
  </si>
  <si>
    <t>0281</t>
  </si>
  <si>
    <t>0282</t>
  </si>
  <si>
    <t>0284</t>
  </si>
  <si>
    <t>0286</t>
  </si>
  <si>
    <t>0289</t>
  </si>
  <si>
    <t>0291</t>
  </si>
  <si>
    <t>0292</t>
  </si>
  <si>
    <t>0293</t>
  </si>
  <si>
    <t>0294</t>
  </si>
  <si>
    <t>0295</t>
  </si>
  <si>
    <t>0296</t>
  </si>
  <si>
    <t>0298</t>
  </si>
  <si>
    <t>0300</t>
  </si>
  <si>
    <t>0302</t>
  </si>
  <si>
    <t>0303</t>
  </si>
  <si>
    <t>0304</t>
  </si>
  <si>
    <t>0306</t>
  </si>
  <si>
    <t>0308</t>
  </si>
  <si>
    <t>0309</t>
  </si>
  <si>
    <t>0311</t>
  </si>
  <si>
    <t>0313</t>
  </si>
  <si>
    <t>0314</t>
  </si>
  <si>
    <t>0316</t>
  </si>
  <si>
    <t>0321</t>
  </si>
  <si>
    <t>0326</t>
  </si>
  <si>
    <t>0327</t>
  </si>
  <si>
    <t>0330</t>
  </si>
  <si>
    <t>0332</t>
  </si>
  <si>
    <t>0336</t>
  </si>
  <si>
    <t>0337</t>
  </si>
  <si>
    <t>0340</t>
  </si>
  <si>
    <t>0341</t>
  </si>
  <si>
    <t>0342</t>
  </si>
  <si>
    <t>0343</t>
  </si>
  <si>
    <t>0344</t>
  </si>
  <si>
    <t>0350</t>
  </si>
  <si>
    <t>0351</t>
  </si>
  <si>
    <t>0352</t>
  </si>
  <si>
    <t>0359</t>
  </si>
  <si>
    <t>0360</t>
  </si>
  <si>
    <t>0361</t>
  </si>
  <si>
    <t>0362</t>
  </si>
  <si>
    <t>0365</t>
  </si>
  <si>
    <t>0366</t>
  </si>
  <si>
    <t>0367</t>
  </si>
  <si>
    <t>0368</t>
  </si>
  <si>
    <t>0369</t>
  </si>
  <si>
    <t>0370</t>
  </si>
  <si>
    <t>0371</t>
  </si>
  <si>
    <t>0372</t>
  </si>
  <si>
    <t>0374</t>
  </si>
  <si>
    <t>0378</t>
  </si>
  <si>
    <t>0381</t>
  </si>
  <si>
    <t>0384</t>
  </si>
  <si>
    <t>0385</t>
  </si>
  <si>
    <t>0386</t>
  </si>
  <si>
    <t>0387</t>
  </si>
  <si>
    <t>0388</t>
  </si>
  <si>
    <t>0389</t>
  </si>
  <si>
    <t>0398</t>
  </si>
  <si>
    <t>0400</t>
  </si>
  <si>
    <t>0402</t>
  </si>
  <si>
    <t>0403</t>
  </si>
  <si>
    <t>0405</t>
  </si>
  <si>
    <t>0412</t>
  </si>
  <si>
    <t>0415</t>
  </si>
  <si>
    <t>0418</t>
  </si>
  <si>
    <t>0419</t>
  </si>
  <si>
    <t>0421</t>
  </si>
  <si>
    <t>0423</t>
  </si>
  <si>
    <t>0426</t>
  </si>
  <si>
    <t>0429</t>
  </si>
  <si>
    <t>0430</t>
  </si>
  <si>
    <t>0431</t>
  </si>
  <si>
    <t>0432</t>
  </si>
  <si>
    <t>0433</t>
  </si>
  <si>
    <t>0435</t>
  </si>
  <si>
    <t>0436</t>
  </si>
  <si>
    <t>0437</t>
  </si>
  <si>
    <t>0441</t>
  </si>
  <si>
    <t>0443</t>
  </si>
  <si>
    <t>0444</t>
  </si>
  <si>
    <t>0445</t>
  </si>
  <si>
    <t>0449</t>
  </si>
  <si>
    <t>0450</t>
  </si>
  <si>
    <t>0452</t>
  </si>
  <si>
    <t>0453</t>
  </si>
  <si>
    <t>0458</t>
  </si>
  <si>
    <t>0461</t>
  </si>
  <si>
    <t>0468</t>
  </si>
  <si>
    <t>0472</t>
  </si>
  <si>
    <t>0473</t>
  </si>
  <si>
    <t>0474</t>
  </si>
  <si>
    <t>0475</t>
  </si>
  <si>
    <t>0476</t>
  </si>
  <si>
    <t>0479</t>
  </si>
  <si>
    <t>0481</t>
  </si>
  <si>
    <t>0483</t>
  </si>
  <si>
    <t>0484</t>
  </si>
  <si>
    <t>0485</t>
  </si>
  <si>
    <t>0486</t>
  </si>
  <si>
    <t>0488</t>
  </si>
  <si>
    <t>0489</t>
  </si>
  <si>
    <t>0490</t>
  </si>
  <si>
    <t>0491</t>
  </si>
  <si>
    <t>0492</t>
  </si>
  <si>
    <t>0496</t>
  </si>
  <si>
    <t>0498</t>
  </si>
  <si>
    <t>0501</t>
  </si>
  <si>
    <t>0502</t>
  </si>
  <si>
    <t>0506</t>
  </si>
  <si>
    <t>0510</t>
  </si>
  <si>
    <t>0512</t>
  </si>
  <si>
    <t>0513</t>
  </si>
  <si>
    <t>0514</t>
  </si>
  <si>
    <t>0516</t>
  </si>
  <si>
    <t>0517</t>
  </si>
  <si>
    <t>0518</t>
  </si>
  <si>
    <t>0519</t>
  </si>
  <si>
    <t>0522</t>
  </si>
  <si>
    <t>0523</t>
  </si>
  <si>
    <t>0524</t>
  </si>
  <si>
    <t>0527</t>
  </si>
  <si>
    <t>0528</t>
  </si>
  <si>
    <t>0533</t>
  </si>
  <si>
    <t>0534</t>
  </si>
  <si>
    <t>0537</t>
  </si>
  <si>
    <t>0538</t>
  </si>
  <si>
    <t>0542</t>
  </si>
  <si>
    <t>0543</t>
  </si>
  <si>
    <t>0545</t>
  </si>
  <si>
    <t>0547</t>
  </si>
  <si>
    <t>0549</t>
  </si>
  <si>
    <t>0550</t>
  </si>
  <si>
    <t>0551</t>
  </si>
  <si>
    <t>0556</t>
  </si>
  <si>
    <t>0557</t>
  </si>
  <si>
    <t>0558</t>
  </si>
  <si>
    <t>0560</t>
  </si>
  <si>
    <t>0561</t>
  </si>
  <si>
    <t>0563</t>
  </si>
  <si>
    <t>0567</t>
  </si>
  <si>
    <t>0570</t>
  </si>
  <si>
    <t>0571</t>
  </si>
  <si>
    <t>0572</t>
  </si>
  <si>
    <t>0576</t>
  </si>
  <si>
    <t>0579</t>
  </si>
  <si>
    <t>0583</t>
  </si>
  <si>
    <t>0585</t>
  </si>
  <si>
    <t>0586</t>
  </si>
  <si>
    <t>0588</t>
  </si>
  <si>
    <t>0589</t>
  </si>
  <si>
    <t>0591</t>
  </si>
  <si>
    <t>0592</t>
  </si>
  <si>
    <t>0593</t>
  </si>
  <si>
    <t>0594</t>
  </si>
  <si>
    <t>0596</t>
  </si>
  <si>
    <t>0598</t>
  </si>
  <si>
    <t>0599</t>
  </si>
  <si>
    <t>0600</t>
  </si>
  <si>
    <t>0601</t>
  </si>
  <si>
    <t>0602</t>
  </si>
  <si>
    <t>0605</t>
  </si>
  <si>
    <t>0606</t>
  </si>
  <si>
    <t>0607</t>
  </si>
  <si>
    <t>0608</t>
  </si>
  <si>
    <t>0610</t>
  </si>
  <si>
    <t>0611</t>
  </si>
  <si>
    <t>0613</t>
  </si>
  <si>
    <t>0615</t>
  </si>
  <si>
    <t>0616</t>
  </si>
  <si>
    <t>0619</t>
  </si>
  <si>
    <t>0625</t>
  </si>
  <si>
    <t>0626</t>
  </si>
  <si>
    <t>0627</t>
  </si>
  <si>
    <t>0632</t>
  </si>
  <si>
    <t>0633</t>
  </si>
  <si>
    <t>0634</t>
  </si>
  <si>
    <t>0636</t>
  </si>
  <si>
    <t>0637</t>
  </si>
  <si>
    <t>0640</t>
  </si>
  <si>
    <t>0641</t>
  </si>
  <si>
    <t>0643</t>
  </si>
  <si>
    <t>0644</t>
  </si>
  <si>
    <t>0651</t>
  </si>
  <si>
    <t>0652</t>
  </si>
  <si>
    <t>0654</t>
  </si>
  <si>
    <t>0655</t>
  </si>
  <si>
    <t>0656</t>
  </si>
  <si>
    <t>0658</t>
  </si>
  <si>
    <t>0659</t>
  </si>
  <si>
    <t>0660</t>
  </si>
  <si>
    <t>0663</t>
  </si>
  <si>
    <t>0665</t>
  </si>
  <si>
    <t>0668</t>
  </si>
  <si>
    <t>0669</t>
  </si>
  <si>
    <t>0670</t>
  </si>
  <si>
    <t>0671</t>
  </si>
  <si>
    <t>0672</t>
  </si>
  <si>
    <t>0674</t>
  </si>
  <si>
    <t>0675</t>
  </si>
  <si>
    <t>0677</t>
  </si>
  <si>
    <t>0679</t>
  </si>
  <si>
    <t>0680</t>
  </si>
  <si>
    <t>0682</t>
  </si>
  <si>
    <t>0683</t>
  </si>
  <si>
    <t>0692</t>
  </si>
  <si>
    <t>0695</t>
  </si>
  <si>
    <t>0697</t>
  </si>
  <si>
    <t>0699</t>
  </si>
  <si>
    <t>0700</t>
  </si>
  <si>
    <t>0701</t>
  </si>
  <si>
    <t>0702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</si>
  <si>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</si>
  <si>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</si>
  <si>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</si>
  <si>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</si>
  <si>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</si>
  <si>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</si>
  <si>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</si>
  <si>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</si>
  <si>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</si>
  <si>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</si>
  <si>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</si>
  <si>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0717</t>
  </si>
  <si>
    <t>0720</t>
  </si>
  <si>
    <t>0725</t>
  </si>
  <si>
    <t>0727</t>
  </si>
  <si>
    <t>0729</t>
  </si>
  <si>
    <t>0731</t>
  </si>
  <si>
    <t>0732</t>
  </si>
  <si>
    <t>0733</t>
  </si>
  <si>
    <t>0734</t>
  </si>
  <si>
    <t>0735</t>
  </si>
  <si>
    <t>0740</t>
  </si>
  <si>
    <t>0743</t>
  </si>
  <si>
    <t>0744</t>
  </si>
  <si>
    <t>0751</t>
  </si>
  <si>
    <t>0753</t>
  </si>
  <si>
    <t>0754</t>
  </si>
  <si>
    <t>0755</t>
  </si>
  <si>
    <t>0758</t>
  </si>
  <si>
    <t>0763</t>
  </si>
  <si>
    <t>0764</t>
  </si>
  <si>
    <t>0766</t>
  </si>
  <si>
    <t>0767</t>
  </si>
  <si>
    <t>0768</t>
  </si>
  <si>
    <t>0769</t>
  </si>
  <si>
    <t>0772</t>
  </si>
  <si>
    <t>0774</t>
  </si>
  <si>
    <t>0779</t>
  </si>
  <si>
    <t>0780</t>
  </si>
  <si>
    <t>0784</t>
  </si>
  <si>
    <t>0785</t>
  </si>
  <si>
    <t>0789</t>
  </si>
  <si>
    <t>0793</t>
  </si>
  <si>
    <t>0797</t>
  </si>
  <si>
    <t>0798</t>
  </si>
  <si>
    <t>0799</t>
  </si>
  <si>
    <t>0800</t>
  </si>
  <si>
    <t>0801</t>
  </si>
  <si>
    <t>0804</t>
  </si>
  <si>
    <t>0805</t>
  </si>
  <si>
    <t>0806</t>
  </si>
  <si>
    <t>0807</t>
  </si>
  <si>
    <t>0808</t>
  </si>
  <si>
    <t>0809</t>
  </si>
  <si>
    <t>0813</t>
  </si>
  <si>
    <t>0814</t>
  </si>
  <si>
    <t>0815</t>
  </si>
  <si>
    <t>0816</t>
  </si>
  <si>
    <t>0818</t>
  </si>
  <si>
    <t>0819</t>
  </si>
  <si>
    <t>0820</t>
  </si>
  <si>
    <t>0821</t>
  </si>
  <si>
    <t>0823</t>
  </si>
  <si>
    <t>0826</t>
  </si>
  <si>
    <t>0828</t>
  </si>
  <si>
    <t>0829</t>
  </si>
  <si>
    <t>0830</t>
  </si>
  <si>
    <t>0832</t>
  </si>
  <si>
    <t>0833</t>
  </si>
  <si>
    <t>0835</t>
  </si>
  <si>
    <t>0836</t>
  </si>
  <si>
    <t>0837</t>
  </si>
  <si>
    <t>0838</t>
  </si>
  <si>
    <t>0839</t>
  </si>
  <si>
    <t>0840</t>
  </si>
  <si>
    <t>0842</t>
  </si>
  <si>
    <t>0844</t>
  </si>
  <si>
    <t>0845</t>
  </si>
  <si>
    <t>0846</t>
  </si>
  <si>
    <t>0847</t>
  </si>
  <si>
    <t>0848</t>
  </si>
  <si>
    <t>0850</t>
  </si>
  <si>
    <t>0851</t>
  </si>
  <si>
    <t>0852</t>
  </si>
  <si>
    <t>0853</t>
  </si>
  <si>
    <t>0854</t>
  </si>
  <si>
    <t>0855</t>
  </si>
  <si>
    <t>0856</t>
  </si>
  <si>
    <t>0857</t>
  </si>
  <si>
    <t>0882</t>
  </si>
  <si>
    <t>0876</t>
  </si>
  <si>
    <t>0874</t>
  </si>
  <si>
    <t>0878</t>
  </si>
  <si>
    <t>0881</t>
  </si>
  <si>
    <t>0873</t>
  </si>
  <si>
    <t>0877</t>
  </si>
  <si>
    <t>0870</t>
  </si>
  <si>
    <t>0875</t>
  </si>
  <si>
    <t>0880</t>
  </si>
  <si>
    <t>0865</t>
  </si>
  <si>
    <t>0868</t>
  </si>
  <si>
    <t>0864</t>
  </si>
  <si>
    <t>0866</t>
  </si>
  <si>
    <t>0867</t>
  </si>
  <si>
    <t>0860</t>
  </si>
  <si>
    <t>0861</t>
  </si>
  <si>
    <t>0862</t>
  </si>
  <si>
    <t>0883</t>
  </si>
  <si>
    <t>0884</t>
  </si>
  <si>
    <t>0885</t>
  </si>
  <si>
    <t>0886</t>
  </si>
  <si>
    <t>0887</t>
  </si>
  <si>
    <t>0889</t>
  </si>
  <si>
    <t>0890</t>
  </si>
  <si>
    <t>0893</t>
  </si>
  <si>
    <t>0898</t>
  </si>
  <si>
    <t>0899</t>
  </si>
  <si>
    <t>0900</t>
  </si>
  <si>
    <t>0901</t>
  </si>
  <si>
    <t>0904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</si>
  <si>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</si>
  <si>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</si>
  <si>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</si>
  <si>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</si>
  <si>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</si>
  <si>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</si>
  <si>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</si>
  <si>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</si>
  <si>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</si>
  <si>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</si>
  <si>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0916</t>
  </si>
  <si>
    <t>0918</t>
  </si>
  <si>
    <t>0919</t>
  </si>
  <si>
    <t>0920</t>
  </si>
  <si>
    <t>0922</t>
  </si>
  <si>
    <t>0924</t>
  </si>
  <si>
    <t>0925</t>
  </si>
  <si>
    <t>0926</t>
  </si>
  <si>
    <t>0927</t>
  </si>
  <si>
    <t>0929</t>
  </si>
  <si>
    <t>0931</t>
  </si>
  <si>
    <t>0932</t>
  </si>
  <si>
    <t>0934</t>
  </si>
  <si>
    <t>0935</t>
  </si>
  <si>
    <t>0936</t>
  </si>
  <si>
    <t>0939</t>
  </si>
  <si>
    <t>0940</t>
  </si>
  <si>
    <t>0941</t>
  </si>
  <si>
    <t>0942</t>
  </si>
  <si>
    <t>0943</t>
  </si>
  <si>
    <t>0945</t>
  </si>
  <si>
    <t>0946</t>
  </si>
  <si>
    <t>0948</t>
  </si>
  <si>
    <t>0949</t>
  </si>
  <si>
    <t>0950</t>
  </si>
  <si>
    <t>0952</t>
  </si>
  <si>
    <t>0953</t>
  </si>
  <si>
    <t>0954</t>
  </si>
  <si>
    <t>0955</t>
  </si>
  <si>
    <t>0956</t>
  </si>
  <si>
    <t>0957</t>
  </si>
  <si>
    <t>0958</t>
  </si>
  <si>
    <t>0959</t>
  </si>
  <si>
    <t>0960</t>
  </si>
  <si>
    <t>0962</t>
  </si>
  <si>
    <t>0963</t>
  </si>
  <si>
    <t>0964</t>
  </si>
  <si>
    <t>0966</t>
  </si>
  <si>
    <t>0968</t>
  </si>
  <si>
    <t>0969</t>
  </si>
  <si>
    <t>0970</t>
  </si>
  <si>
    <t>0972</t>
  </si>
  <si>
    <t>0973</t>
  </si>
  <si>
    <t>0975</t>
  </si>
  <si>
    <t>0976</t>
  </si>
  <si>
    <t>0977</t>
  </si>
  <si>
    <t>0978</t>
  </si>
  <si>
    <t>0979</t>
  </si>
  <si>
    <t>0980</t>
  </si>
  <si>
    <t>0981</t>
  </si>
  <si>
    <t>0982</t>
  </si>
  <si>
    <t>0983</t>
  </si>
  <si>
    <t>0985</t>
  </si>
  <si>
    <t>0986</t>
  </si>
  <si>
    <t>0989</t>
  </si>
  <si>
    <t>0990</t>
  </si>
  <si>
    <t>0991</t>
  </si>
  <si>
    <t>0994</t>
  </si>
  <si>
    <t>0995</t>
  </si>
  <si>
    <t>0996</t>
  </si>
  <si>
    <t>0997</t>
  </si>
  <si>
    <t>0998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</si>
  <si>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</si>
  <si>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</si>
  <si>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</si>
  <si>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</si>
  <si>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</si>
  <si>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</si>
  <si>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</si>
  <si>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</si>
  <si>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</si>
  <si>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</si>
  <si>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</si>
  <si>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</si>
  <si>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</si>
  <si>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1014</t>
  </si>
  <si>
    <t>1015</t>
  </si>
  <si>
    <t>1016</t>
  </si>
  <si>
    <t>1018</t>
  </si>
  <si>
    <t>1019</t>
  </si>
  <si>
    <t>1021</t>
  </si>
  <si>
    <t>1022</t>
  </si>
  <si>
    <t>1023</t>
  </si>
  <si>
    <t>1024</t>
  </si>
  <si>
    <t>1026</t>
  </si>
  <si>
    <t>1027</t>
  </si>
  <si>
    <t>1028</t>
  </si>
  <si>
    <t>1032</t>
  </si>
  <si>
    <t>1033</t>
  </si>
  <si>
    <t>1034</t>
  </si>
  <si>
    <t>1037</t>
  </si>
  <si>
    <t>1039</t>
  </si>
  <si>
    <t>1040</t>
  </si>
  <si>
    <t>1042</t>
  </si>
  <si>
    <t>1043</t>
  </si>
  <si>
    <t>1044</t>
  </si>
  <si>
    <t>1045</t>
  </si>
  <si>
    <t>1046</t>
  </si>
  <si>
    <t>1048</t>
  </si>
  <si>
    <t>1049</t>
  </si>
  <si>
    <t>1050</t>
  </si>
  <si>
    <t>1051</t>
  </si>
  <si>
    <t>1053</t>
  </si>
  <si>
    <t>1055</t>
  </si>
  <si>
    <t>1057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</si>
  <si>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</si>
  <si>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</si>
  <si>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</si>
  <si>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</si>
  <si>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</si>
  <si>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</si>
  <si>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</si>
  <si>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</si>
  <si>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</si>
  <si>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</si>
  <si>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</si>
  <si>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</si>
  <si>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</si>
  <si>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</si>
  <si>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</si>
  <si>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</si>
  <si>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1076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</si>
  <si>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</si>
  <si>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</si>
  <si>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</si>
  <si>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</si>
  <si>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</si>
  <si>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</si>
  <si>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</si>
  <si>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</si>
  <si>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</si>
  <si>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</si>
  <si>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</si>
  <si>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</si>
  <si>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</si>
  <si>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</si>
  <si>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</si>
  <si>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</si>
  <si>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</si>
  <si>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1096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</si>
  <si>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</si>
  <si>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</si>
  <si>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</si>
  <si>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</si>
  <si>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</si>
  <si>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</si>
  <si>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</si>
  <si>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</si>
  <si>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</si>
  <si>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</si>
  <si>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</si>
  <si>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</si>
  <si>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</si>
  <si>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1112</t>
  </si>
  <si>
    <t>1113</t>
  </si>
  <si>
    <t>1114</t>
  </si>
  <si>
    <t>1116</t>
  </si>
  <si>
    <t>1117</t>
  </si>
  <si>
    <t>1118</t>
  </si>
  <si>
    <t>1120</t>
  </si>
  <si>
    <t>1121</t>
  </si>
  <si>
    <t>1122</t>
  </si>
  <si>
    <t>1123</t>
  </si>
  <si>
    <t>1124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</si>
  <si>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</si>
  <si>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</si>
  <si>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</si>
  <si>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</si>
  <si>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</si>
  <si>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</si>
  <si>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</si>
  <si>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</si>
  <si>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</si>
  <si>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CÁC TRƯỜNG HỢP NHẬP SAI THÔNG TIN SẼ KHÔNG ĐƯỢC GHI NHẬN :</t>
  </si>
  <si>
    <t xml:space="preserve">  - Nhập ngày nhưng thiếu thời gian</t>
  </si>
  <si>
    <t xml:space="preserve">  - Nhập thời gian nhưng thiếu ngày</t>
  </si>
  <si>
    <t xml:space="preserve">  - Thiếu mã QR</t>
  </si>
  <si>
    <t>MỤC LÝ DO, GIẢI TRÌNH : NHẬP VĂN BẢN</t>
  </si>
  <si>
    <t>CÁC MỤC KHÁC CHỈ ĐƯỢC CHỌN TỪ DANH SÁCH</t>
  </si>
  <si>
    <t>"HƯỚNG DẪN:
Đảm bảo máy tính đang kết nối internet 
Bước 1 : Nhập các thông tin : Ngày yêu cầu, ngày &amp; giờ tăng ca, 4 số cuối của mã nhân viên, lý do. 
Bước 2 : Bấm biểu tượng LƯU =&gt; File PDF sẽ tự động được tạo &amp; lưu cùng thư mục với file EXCEL
Bước 3:  Copy file PDF đến server (ổ đĩa O trên máy tính)
Bấm biểu tượng XÓA để xóa các thông tin hiện tại, lặp lại các bước trên để tạo đăng ký mới</t>
  </si>
  <si>
    <t>KHÔNG  SỬA ĐỊNH DẠNG FILE, NẾU PHÁT SINH LỖI HÃY TẮT &amp; MỞ LẠI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</si>
</sst>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_);[Red]\(0.0\)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MS PGothic"/>
      <family val="2"/>
    </font>
    <font>
      <sz val="11"/>
      <color theme="1"/>
      <name val="MS PGothic"/>
      <family val="2"/>
    </font>
    <font>
      <b/>
      <sz val="24"/>
      <color theme="1"/>
      <name val="MS PGothic"/>
      <family val="2"/>
    </font>
    <font>
      <b/>
      <i/>
      <sz val="18"/>
      <color theme="1"/>
      <name val="MS PGothic"/>
      <family val="2"/>
    </font>
    <font>
      <b/>
      <i/>
      <sz val="24"/>
      <color theme="1"/>
      <name val="MS PGothic"/>
      <family val="2"/>
    </font>
    <font>
      <b/>
      <sz val="11"/>
      <color theme="1"/>
      <name val="MS PGothic"/>
      <family val="2"/>
    </font>
    <font>
      <i/>
      <sz val="11"/>
      <color theme="1"/>
      <name val="MS PGothic"/>
      <family val="2"/>
    </font>
    <font>
      <b/>
      <i/>
      <sz val="11"/>
      <color theme="1"/>
      <name val="MS PGothic"/>
      <family val="2"/>
    </font>
    <font>
      <sz val="6"/>
      <name val="Calibri"/>
      <family val="3"/>
      <charset val="128"/>
      <scheme val="minor"/>
    </font>
    <font>
      <b/>
      <sz val="12"/>
      <color theme="1"/>
      <name val="MS PGothic"/>
      <family val="2"/>
    </font>
    <font>
      <i/>
      <sz val="12"/>
      <color theme="1"/>
      <name val="MS PGothic"/>
      <family val="2"/>
    </font>
    <font>
      <b/>
      <i/>
      <sz val="12"/>
      <color theme="1"/>
      <name val="MS PGothic"/>
      <family val="2"/>
    </font>
    <font>
      <sz val="8"/>
      <name val="Calibri"/>
      <family val="2"/>
      <scheme val="minor"/>
    </font>
    <font>
      <b/>
      <sz val="11"/>
      <color theme="1"/>
      <name val="MS PGothic"/>
    </font>
    <font>
      <sz val="11"/>
      <name val="MS PGothic"/>
      <family val="2"/>
    </font>
    <font>
      <sz val="8"/>
      <name val="Calibri"/>
      <charset val="134"/>
      <scheme val="minor"/>
    </font>
    <font>
      <sz val="13"/>
      <color theme="1"/>
      <name val="Times New Roman"/>
      <family val="1"/>
    </font>
    <font>
      <b/>
      <sz val="13"/>
      <color theme="9" tint="0.59999389629810485"/>
      <name val="Times New Roman"/>
      <family val="1"/>
    </font>
    <font>
      <sz val="13"/>
      <color rgb="FFFFC000"/>
      <name val="Times New Roman"/>
      <family val="1"/>
    </font>
    <font>
      <b/>
      <sz val="13"/>
      <color rgb="FFFF0000"/>
      <name val="Times New Roman"/>
      <family val="1"/>
    </font>
    <font>
      <i/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14" fontId="0" fillId="0" borderId="0" xfId="0" applyNumberFormat="1"/>
    <xf numFmtId="0" fontId="4" fillId="0" borderId="0" xfId="0" applyFont="1"/>
    <xf numFmtId="20" fontId="3" fillId="0" borderId="0" xfId="0" quotePrefix="1" applyNumberFormat="1" applyFont="1"/>
    <xf numFmtId="0" fontId="2" fillId="0" borderId="0" xfId="0" quotePrefix="1" applyFont="1"/>
    <xf numFmtId="0" fontId="1" fillId="0" borderId="0" xfId="0" quotePrefix="1" applyFont="1"/>
    <xf numFmtId="15" fontId="6" fillId="2" borderId="4" xfId="0" applyNumberFormat="1" applyFont="1" applyFill="1" applyBorder="1" applyAlignment="1" applyProtection="1">
      <alignment horizontal="center" vertical="center"/>
      <protection locked="0"/>
    </xf>
    <xf numFmtId="20" fontId="6" fillId="2" borderId="4" xfId="0" applyNumberFormat="1" applyFont="1" applyFill="1" applyBorder="1" applyAlignment="1" applyProtection="1">
      <alignment horizontal="center" vertical="center"/>
      <protection locked="0"/>
    </xf>
    <xf numFmtId="49" fontId="5" fillId="2" borderId="3" xfId="0" quotePrefix="1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vertical="center"/>
      <protection locked="0"/>
    </xf>
    <xf numFmtId="0" fontId="5" fillId="2" borderId="3" xfId="0" quotePrefix="1" applyFont="1" applyFill="1" applyBorder="1" applyAlignment="1" applyProtection="1">
      <alignment horizontal="left" vertical="center"/>
      <protection locked="0"/>
    </xf>
    <xf numFmtId="15" fontId="6" fillId="2" borderId="4" xfId="0" applyNumberFormat="1" applyFont="1" applyFill="1" applyBorder="1" applyAlignment="1" applyProtection="1">
      <alignment horizontal="center" vertical="center"/>
      <protection locked="0"/>
    </xf>
    <xf numFmtId="0" fontId="27" fillId="2" borderId="4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 applyProtection="1">
      <alignment horizontal="left" vertical="center"/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vertical="center"/>
    </xf>
    <xf numFmtId="0" fontId="21" fillId="2" borderId="0" xfId="0" applyFont="1" applyFill="1" applyAlignment="1" applyProtection="1">
      <alignment vertical="center"/>
    </xf>
    <xf numFmtId="0" fontId="10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/>
    </xf>
    <xf numFmtId="0" fontId="5" fillId="2" borderId="5" xfId="0" quotePrefix="1" applyFont="1" applyFill="1" applyBorder="1" applyAlignment="1" applyProtection="1">
      <alignment vertical="center" wrapText="1"/>
    </xf>
    <xf numFmtId="0" fontId="5" fillId="2" borderId="3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left" vertical="center"/>
    </xf>
    <xf numFmtId="0" fontId="5" fillId="2" borderId="10" xfId="0" applyFont="1" applyFill="1" applyBorder="1" applyAlignment="1" applyProtection="1">
      <alignment horizontal="left" vertical="center"/>
    </xf>
    <xf numFmtId="0" fontId="5" fillId="2" borderId="9" xfId="0" applyFont="1" applyFill="1" applyBorder="1" applyAlignment="1" applyProtection="1">
      <alignment horizontal="left" vertical="center"/>
    </xf>
    <xf numFmtId="0" fontId="6" fillId="2" borderId="4" xfId="0" applyFont="1" applyFill="1" applyBorder="1" applyAlignment="1" applyProtection="1">
      <alignment horizontal="center" vertical="center"/>
    </xf>
    <xf numFmtId="164" fontId="6" fillId="2" borderId="12" xfId="0" applyNumberFormat="1" applyFont="1" applyFill="1" applyBorder="1" applyAlignment="1" applyProtection="1">
      <alignment vertical="center"/>
    </xf>
    <xf numFmtId="0" fontId="14" fillId="2" borderId="6" xfId="0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12" xfId="0" applyFont="1" applyFill="1" applyBorder="1" applyAlignment="1" applyProtection="1">
      <alignment horizontal="center" vertical="center" wrapText="1"/>
    </xf>
    <xf numFmtId="0" fontId="14" fillId="2" borderId="2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21" fillId="2" borderId="0" xfId="0" applyFont="1" applyFill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top"/>
    </xf>
    <xf numFmtId="0" fontId="14" fillId="2" borderId="13" xfId="0" applyFont="1" applyFill="1" applyBorder="1" applyAlignment="1" applyProtection="1">
      <alignment horizontal="center" vertical="center" wrapText="1"/>
    </xf>
    <xf numFmtId="0" fontId="14" fillId="2" borderId="4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7" xfId="0" applyFont="1" applyFill="1" applyBorder="1" applyAlignment="1" applyProtection="1">
      <alignment horizontal="center" vertical="center" wrapText="1"/>
    </xf>
    <xf numFmtId="0" fontId="25" fillId="2" borderId="0" xfId="0" applyFont="1" applyFill="1" applyAlignment="1" applyProtection="1">
      <alignment horizontal="center" vertical="center"/>
    </xf>
    <xf numFmtId="20" fontId="6" fillId="2" borderId="4" xfId="0" applyNumberFormat="1" applyFont="1" applyFill="1" applyBorder="1" applyAlignment="1" applyProtection="1">
      <alignment horizontal="center" vertical="center"/>
    </xf>
    <xf numFmtId="20" fontId="6" fillId="2" borderId="0" xfId="0" applyNumberFormat="1" applyFont="1" applyFill="1" applyAlignment="1" applyProtection="1">
      <alignment horizontal="center" vertical="center"/>
    </xf>
    <xf numFmtId="164" fontId="6" fillId="2" borderId="4" xfId="0" applyNumberFormat="1" applyFont="1" applyFill="1" applyBorder="1" applyAlignment="1" applyProtection="1">
      <alignment horizontal="right" vertical="center"/>
    </xf>
    <xf numFmtId="49" fontId="6" fillId="2" borderId="0" xfId="0" applyNumberFormat="1" applyFont="1" applyFill="1" applyAlignment="1" applyProtection="1">
      <alignment vertical="center"/>
    </xf>
    <xf numFmtId="0" fontId="6" fillId="2" borderId="0" xfId="0" applyFont="1" applyFill="1" applyProtection="1"/>
    <xf numFmtId="0" fontId="23" fillId="2" borderId="0" xfId="0" applyFont="1" applyFill="1" applyAlignment="1" applyProtection="1">
      <alignment vertical="center" wrapText="1"/>
    </xf>
    <xf numFmtId="0" fontId="21" fillId="2" borderId="0" xfId="0" applyFont="1" applyFill="1" applyAlignment="1" applyProtection="1">
      <alignment vertical="top" wrapText="1"/>
    </xf>
    <xf numFmtId="0" fontId="0" fillId="2" borderId="0" xfId="0" applyFill="1" applyProtection="1"/>
    <xf numFmtId="0" fontId="11" fillId="2" borderId="0" xfId="0" applyFont="1" applyFill="1" applyProtection="1"/>
    <xf numFmtId="0" fontId="11" fillId="2" borderId="0" xfId="0" applyFont="1" applyFill="1" applyAlignment="1" applyProtection="1">
      <alignment horizontal="left"/>
    </xf>
    <xf numFmtId="0" fontId="11" fillId="2" borderId="0" xfId="0" applyFont="1" applyFill="1" applyAlignment="1" applyProtection="1">
      <alignment horizontal="center"/>
    </xf>
    <xf numFmtId="0" fontId="23" fillId="2" borderId="0" xfId="0" applyFont="1" applyFill="1" applyAlignment="1" applyProtection="1">
      <alignment vertical="top" wrapText="1"/>
    </xf>
    <xf numFmtId="0" fontId="6" fillId="2" borderId="0" xfId="0" applyFont="1" applyFill="1" applyAlignment="1" applyProtection="1">
      <alignment wrapText="1"/>
    </xf>
    <xf numFmtId="0" fontId="10" fillId="2" borderId="0" xfId="0" applyFont="1" applyFill="1" applyAlignment="1" applyProtection="1">
      <alignment horizontal="left"/>
    </xf>
    <xf numFmtId="0" fontId="6" fillId="2" borderId="0" xfId="0" applyFont="1" applyFill="1" applyAlignment="1" applyProtection="1">
      <alignment horizontal="left" vertical="center" wrapText="1"/>
    </xf>
    <xf numFmtId="0" fontId="19" fillId="2" borderId="0" xfId="0" applyFont="1" applyFill="1" applyAlignment="1" applyProtection="1">
      <alignment vertical="center"/>
    </xf>
    <xf numFmtId="22" fontId="19" fillId="2" borderId="0" xfId="0" applyNumberFormat="1" applyFont="1" applyFill="1" applyAlignment="1" applyProtection="1">
      <alignment vertical="center"/>
    </xf>
    <xf numFmtId="0" fontId="6" fillId="2" borderId="0" xfId="0" quotePrefix="1" applyFont="1" applyFill="1" applyAlignment="1" applyProtection="1">
      <alignment vertical="center"/>
    </xf>
    <xf numFmtId="0" fontId="6" fillId="2" borderId="0" xfId="0" applyFont="1" applyFill="1" applyAlignment="1" applyProtection="1">
      <alignment horizontal="left" vertical="center"/>
    </xf>
    <xf numFmtId="0" fontId="6" fillId="2" borderId="0" xfId="0" applyFont="1" applyFill="1" applyAlignment="1" applyProtection="1">
      <alignment horizontal="right"/>
    </xf>
    <xf numFmtId="1" fontId="19" fillId="2" borderId="0" xfId="0" applyNumberFormat="1" applyFont="1" applyFill="1" applyAlignment="1" applyProtection="1">
      <alignment horizontal="left"/>
    </xf>
    <xf numFmtId="0" fontId="6" fillId="2" borderId="0" xfId="0" applyFont="1" applyFill="1" applyAlignment="1" applyProtection="1">
      <alignment horizontal="left" vertical="top" wrapText="1"/>
    </xf>
    <xf numFmtId="0" fontId="6" fillId="2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wrapText="1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horizontal="center" vertical="center"/>
    </xf>
    <xf numFmtId="0" fontId="26" fillId="2" borderId="0" xfId="0" applyFont="1" applyFill="1" applyAlignment="1" applyProtection="1">
      <alignment vertical="center"/>
    </xf>
    <xf numFmtId="0" fontId="9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center" vertical="center"/>
    </xf>
    <xf numFmtId="0" fontId="24" fillId="2" borderId="0" xfId="0" applyFont="1" applyFill="1" applyAlignment="1" applyProtection="1">
      <alignment vertical="top" wrapText="1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onnections" Target="connections.xml"/><Relationship Id="rId5" Type="http://schemas.openxmlformats.org/officeDocument/2006/relationships/externalLink" Target="externalLinks/externalLink2.xml"/><Relationship Id="rId15" Type="http://schemas.microsoft.com/office/2020/07/relationships/rdRichValueWebImage" Target="richData/rdRichValueWebImag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528774</xdr:colOff>
      <xdr:row>6</xdr:row>
      <xdr:rowOff>5715</xdr:rowOff>
    </xdr:from>
    <xdr:to>
      <xdr:col>18</xdr:col>
      <xdr:colOff>206558</xdr:colOff>
      <xdr:row>9</xdr:row>
      <xdr:rowOff>85997</xdr:rowOff>
    </xdr:to>
    <xdr:pic macro="[0]!savePdf">
      <xdr:nvPicPr>
        <xdr:cNvPr id="9" name="Graphic 8" descr="Disk with solid fill">
          <a:extLst>
            <a:ext uri="{FF2B5EF4-FFF2-40B4-BE49-F238E27FC236}">
              <a16:creationId xmlns:a16="http://schemas.microsoft.com/office/drawing/2014/main" id="{86EAF06C-696E-C38C-B119-A070003F7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5595" y="2591072"/>
          <a:ext cx="918210" cy="901065"/>
        </a:xfrm>
        <a:prstGeom prst="rect">
          <a:avLst/>
        </a:prstGeom>
      </xdr:spPr>
    </xdr:pic>
    <xdr:clientData/>
  </xdr:twoCellAnchor>
  <xdr:twoCellAnchor editAs="oneCell">
    <xdr:from>
      <xdr:col>16</xdr:col>
      <xdr:colOff>503465</xdr:colOff>
      <xdr:row>3</xdr:row>
      <xdr:rowOff>1156607</xdr:rowOff>
    </xdr:from>
    <xdr:to>
      <xdr:col>18</xdr:col>
      <xdr:colOff>169819</xdr:colOff>
      <xdr:row>5</xdr:row>
      <xdr:rowOff>16330</xdr:rowOff>
    </xdr:to>
    <xdr:pic macro="[0]!_xludf.clear">
      <xdr:nvPicPr>
        <xdr:cNvPr id="3" name="Graphic 2" descr="Close with solid fill">
          <a:extLst>
            <a:ext uri="{FF2B5EF4-FFF2-40B4-BE49-F238E27FC236}">
              <a16:creationId xmlns:a16="http://schemas.microsoft.com/office/drawing/2014/main" id="{71E8950E-FC09-15CE-71B4-7C4F186F3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0286" y="1687286"/>
          <a:ext cx="914400" cy="912495"/>
        </a:xfrm>
        <a:prstGeom prst="rect">
          <a:avLst/>
        </a:prstGeom>
      </xdr:spPr>
    </xdr:pic>
    <xdr:clientData/>
  </xdr:twoCellAnchor>
  <xdr:twoCellAnchor editAs="oneCell">
    <xdr:from>
      <xdr:col>19</xdr:col>
      <xdr:colOff>60146</xdr:colOff>
      <xdr:row>12</xdr:row>
      <xdr:rowOff>138522</xdr:rowOff>
    </xdr:from>
    <xdr:to>
      <xdr:col>21</xdr:col>
      <xdr:colOff>129597</xdr:colOff>
      <xdr:row>28</xdr:row>
      <xdr:rowOff>71424</xdr:rowOff>
    </xdr:to>
    <xdr:pic>
      <xdr:nvPicPr>
        <xdr:cNvPr id="2" name="Picture 1" descr="A close-up of a document&#10;&#10;Description automatically generated">
          <a:extLst>
            <a:ext uri="{FF2B5EF4-FFF2-40B4-BE49-F238E27FC236}">
              <a16:creationId xmlns:a16="http://schemas.microsoft.com/office/drawing/2014/main" id="{01E61EA0-E800-C9CD-6163-B7C15CF3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4689" y="4090036"/>
          <a:ext cx="9627108" cy="4417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binh%20kt\CTCI-CPP\quota\Piping-MT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SE6380\TOP1\MISS_&#168;&#207;&#161;&#192;\ORIGINAL\&#168;&#207;&#161;&#192;_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WINDOWS\TEMP\IBASE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CS3408\Standard\RP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3\C\bdung\dung\KINH\My%20Documents\99v0233\Eq_sum_n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6\gp8000c#\&#20154;&#20107;&#36039;&#26009;\CHAM%20CONG\Documents%20and%20Settings\Dung\My%20Documents\work%20files\My%20xuan\BOQ-NHA%20VP%20KCN%20MY%20XU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TL(AG)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Sheet7"/>
      <sheetName val="Data list"/>
      <sheetName val="Datalist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BASE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7">
          <cell r="AH7" t="str">
            <v>SP1</v>
          </cell>
          <cell r="AI7" t="str">
            <v>SOLVENT CLEANING   (SSPC-SP-1)</v>
          </cell>
          <cell r="AJ7">
            <v>60</v>
          </cell>
          <cell r="AK7">
            <v>60</v>
          </cell>
          <cell r="AL7">
            <v>60</v>
          </cell>
        </row>
        <row r="8">
          <cell r="AH8" t="str">
            <v>SP2</v>
          </cell>
          <cell r="AI8" t="str">
            <v>HAND CLEANING   (SSPC-SP-2)</v>
          </cell>
          <cell r="AJ8">
            <v>50</v>
          </cell>
          <cell r="AK8">
            <v>50</v>
          </cell>
          <cell r="AL8">
            <v>50</v>
          </cell>
        </row>
        <row r="9">
          <cell r="AH9" t="str">
            <v>SP3</v>
          </cell>
          <cell r="AI9" t="str">
            <v>POWER CLEANING   (SSPC-SP-3)</v>
          </cell>
          <cell r="AJ9">
            <v>50</v>
          </cell>
          <cell r="AK9">
            <v>50</v>
          </cell>
          <cell r="AL9">
            <v>50</v>
          </cell>
        </row>
        <row r="10">
          <cell r="AH10" t="str">
            <v>SP5</v>
          </cell>
          <cell r="AI10" t="str">
            <v>WHITE METAL BLAST   (SSPC-SP-5)</v>
          </cell>
          <cell r="AJ10">
            <v>90</v>
          </cell>
          <cell r="AK10">
            <v>90</v>
          </cell>
          <cell r="AL10">
            <v>90</v>
          </cell>
        </row>
        <row r="11">
          <cell r="AH11" t="str">
            <v>SP6</v>
          </cell>
          <cell r="AI11" t="str">
            <v>COMMERCIAL BLAST (SSPC-SP-6)</v>
          </cell>
          <cell r="AJ11">
            <v>70</v>
          </cell>
          <cell r="AK11">
            <v>70</v>
          </cell>
          <cell r="AL11">
            <v>70</v>
          </cell>
        </row>
        <row r="12">
          <cell r="AH12" t="str">
            <v>SP7</v>
          </cell>
          <cell r="AI12" t="str">
            <v>BRUSH OFF BLAST CLEANING (SSPC-SP7)</v>
          </cell>
          <cell r="AJ12">
            <v>50</v>
          </cell>
          <cell r="AK12">
            <v>50</v>
          </cell>
          <cell r="AL12">
            <v>50</v>
          </cell>
        </row>
        <row r="13">
          <cell r="AH13" t="str">
            <v>SP8</v>
          </cell>
          <cell r="AI13" t="str">
            <v>PICKLING  (SSPC-SP-8)</v>
          </cell>
          <cell r="AJ13">
            <v>350</v>
          </cell>
          <cell r="AK13">
            <v>350</v>
          </cell>
          <cell r="AL13">
            <v>350</v>
          </cell>
        </row>
        <row r="14">
          <cell r="AH14" t="str">
            <v>SP10</v>
          </cell>
          <cell r="AI14" t="str">
            <v>NEAR WHITE BLAST (SSPC-SP-10)</v>
          </cell>
          <cell r="AJ14">
            <v>80</v>
          </cell>
          <cell r="AK14">
            <v>80</v>
          </cell>
          <cell r="AL14">
            <v>80</v>
          </cell>
        </row>
        <row r="16">
          <cell r="AH16" t="str">
            <v>RLP</v>
          </cell>
          <cell r="AI16" t="str">
            <v>RED LEAD PRIMER</v>
          </cell>
          <cell r="AJ16" t="str">
            <v>0101</v>
          </cell>
          <cell r="AK16" t="str">
            <v>905(OP-91)</v>
          </cell>
          <cell r="AL16" t="str">
            <v>210</v>
          </cell>
          <cell r="AM16">
            <v>1</v>
          </cell>
          <cell r="AN16">
            <v>9.1999999999999993</v>
          </cell>
          <cell r="AO16">
            <v>9.6999999999999993</v>
          </cell>
          <cell r="AP16">
            <v>14.8</v>
          </cell>
          <cell r="AQ16">
            <v>47.83</v>
          </cell>
          <cell r="AR16">
            <v>45.36</v>
          </cell>
          <cell r="AS16">
            <v>38.51</v>
          </cell>
          <cell r="AT16">
            <v>440</v>
          </cell>
          <cell r="AU16">
            <v>440</v>
          </cell>
          <cell r="AV16">
            <v>570</v>
          </cell>
        </row>
        <row r="17">
          <cell r="AI17" t="str">
            <v>RED LEAD PRIMER</v>
          </cell>
          <cell r="AJ17" t="str">
            <v>0102</v>
          </cell>
          <cell r="AK17" t="str">
            <v>906(OP-92)</v>
          </cell>
          <cell r="AL17" t="str">
            <v>220</v>
          </cell>
          <cell r="AM17">
            <v>1</v>
          </cell>
          <cell r="AN17">
            <v>8.7799999999999994</v>
          </cell>
          <cell r="AO17">
            <v>10</v>
          </cell>
          <cell r="AP17">
            <v>12.4</v>
          </cell>
          <cell r="AQ17">
            <v>47.83</v>
          </cell>
          <cell r="AR17">
            <v>42</v>
          </cell>
          <cell r="AS17">
            <v>38.71</v>
          </cell>
          <cell r="AT17">
            <v>420</v>
          </cell>
          <cell r="AU17">
            <v>420</v>
          </cell>
          <cell r="AV17">
            <v>480</v>
          </cell>
        </row>
        <row r="18">
          <cell r="AI18" t="str">
            <v>B P RED LEAD PRIMER</v>
          </cell>
          <cell r="AJ18" t="str">
            <v>0103</v>
          </cell>
          <cell r="AK18" t="str">
            <v>911</v>
          </cell>
          <cell r="AM18">
            <v>1</v>
          </cell>
          <cell r="AN18">
            <v>8.44</v>
          </cell>
          <cell r="AO18">
            <v>9</v>
          </cell>
          <cell r="AQ18">
            <v>45</v>
          </cell>
          <cell r="AR18">
            <v>42.22</v>
          </cell>
          <cell r="AT18">
            <v>380</v>
          </cell>
          <cell r="AU18">
            <v>380</v>
          </cell>
        </row>
        <row r="19">
          <cell r="AH19" t="str">
            <v>ATP</v>
          </cell>
          <cell r="AI19" t="str">
            <v>ALUMINUM TRIPOLYPHOSPHATE PRIMER</v>
          </cell>
          <cell r="AJ19" t="str">
            <v>0107</v>
          </cell>
          <cell r="AK19" t="str">
            <v>992</v>
          </cell>
          <cell r="AL19" t="str">
            <v>221</v>
          </cell>
          <cell r="AM19">
            <v>1</v>
          </cell>
          <cell r="AN19">
            <v>12.6</v>
          </cell>
          <cell r="AO19">
            <v>7.09</v>
          </cell>
          <cell r="AP19">
            <v>11.4</v>
          </cell>
          <cell r="AQ19">
            <v>39.68</v>
          </cell>
          <cell r="AR19">
            <v>42.31</v>
          </cell>
          <cell r="AS19">
            <v>38.6</v>
          </cell>
          <cell r="AT19">
            <v>500</v>
          </cell>
          <cell r="AU19">
            <v>300</v>
          </cell>
          <cell r="AV19">
            <v>440</v>
          </cell>
        </row>
        <row r="20">
          <cell r="AH20" t="str">
            <v>AZPP</v>
          </cell>
          <cell r="AI20" t="str">
            <v>ALKYD ZINC PHOSPHATE PRIMER</v>
          </cell>
          <cell r="AJ20" t="str">
            <v>0111</v>
          </cell>
          <cell r="AK20" t="str">
            <v>907(OP-93)</v>
          </cell>
          <cell r="AL20" t="str">
            <v>240</v>
          </cell>
          <cell r="AM20">
            <v>1</v>
          </cell>
          <cell r="AN20">
            <v>24.77</v>
          </cell>
          <cell r="AO20">
            <v>10.6</v>
          </cell>
          <cell r="AP20">
            <v>9</v>
          </cell>
          <cell r="AQ20">
            <v>40.369999999999997</v>
          </cell>
          <cell r="AR20">
            <v>41.51</v>
          </cell>
          <cell r="AS20">
            <v>40.89</v>
          </cell>
          <cell r="AT20">
            <v>1000</v>
          </cell>
          <cell r="AU20">
            <v>440</v>
          </cell>
          <cell r="AV20">
            <v>368</v>
          </cell>
        </row>
        <row r="21">
          <cell r="AH21" t="str">
            <v>IOP</v>
          </cell>
          <cell r="AI21" t="str">
            <v>IRON OXIDE PRIMER</v>
          </cell>
          <cell r="AJ21" t="str">
            <v>0121</v>
          </cell>
          <cell r="AK21" t="str">
            <v>904(OP-95)</v>
          </cell>
          <cell r="AL21" t="str">
            <v>230</v>
          </cell>
          <cell r="AM21">
            <v>1</v>
          </cell>
          <cell r="AN21">
            <v>6.5</v>
          </cell>
          <cell r="AO21">
            <v>8.1999999999999993</v>
          </cell>
          <cell r="AP21">
            <v>5.2</v>
          </cell>
          <cell r="AQ21">
            <v>46.15</v>
          </cell>
          <cell r="AR21">
            <v>41.46</v>
          </cell>
          <cell r="AS21">
            <v>57.12</v>
          </cell>
          <cell r="AT21">
            <v>300</v>
          </cell>
          <cell r="AU21">
            <v>340</v>
          </cell>
          <cell r="AV21">
            <v>297</v>
          </cell>
        </row>
        <row r="22">
          <cell r="AH22" t="str">
            <v>GS</v>
          </cell>
          <cell r="AI22" t="str">
            <v>GRAY SURFACE</v>
          </cell>
          <cell r="AJ22" t="str">
            <v>0141</v>
          </cell>
          <cell r="AK22" t="str">
            <v>501</v>
          </cell>
          <cell r="AL22" t="str">
            <v>090</v>
          </cell>
          <cell r="AM22">
            <v>1</v>
          </cell>
          <cell r="AN22">
            <v>8.1</v>
          </cell>
          <cell r="AO22">
            <v>12.1</v>
          </cell>
          <cell r="AP22">
            <v>12.6</v>
          </cell>
          <cell r="AQ22">
            <v>37.04</v>
          </cell>
          <cell r="AR22">
            <v>37.19</v>
          </cell>
          <cell r="AS22">
            <v>37.94</v>
          </cell>
          <cell r="AT22">
            <v>300</v>
          </cell>
          <cell r="AU22">
            <v>450</v>
          </cell>
          <cell r="AV22">
            <v>478</v>
          </cell>
        </row>
        <row r="23">
          <cell r="AH23" t="str">
            <v>RMP</v>
          </cell>
          <cell r="AI23" t="str">
            <v>READY-MIXED PAINT</v>
          </cell>
          <cell r="AJ23" t="str">
            <v>0151</v>
          </cell>
          <cell r="AK23" t="str">
            <v>111</v>
          </cell>
          <cell r="AL23" t="str">
            <v>100</v>
          </cell>
          <cell r="AM23">
            <v>1</v>
          </cell>
          <cell r="AN23">
            <v>10.9</v>
          </cell>
          <cell r="AO23">
            <v>9.6</v>
          </cell>
          <cell r="AP23">
            <v>10</v>
          </cell>
          <cell r="AQ23">
            <v>41.28</v>
          </cell>
          <cell r="AR23">
            <v>41.67</v>
          </cell>
          <cell r="AS23">
            <v>38</v>
          </cell>
          <cell r="AT23">
            <v>450</v>
          </cell>
          <cell r="AU23">
            <v>400</v>
          </cell>
          <cell r="AV23">
            <v>380</v>
          </cell>
        </row>
        <row r="24">
          <cell r="AH24" t="str">
            <v>FRMP</v>
          </cell>
          <cell r="AI24" t="str">
            <v>FLAT READY-MIXED PAINT</v>
          </cell>
          <cell r="AJ24" t="str">
            <v>0153</v>
          </cell>
          <cell r="AK24" t="str">
            <v>508</v>
          </cell>
          <cell r="AM24">
            <v>1</v>
          </cell>
          <cell r="AN24">
            <v>11.8</v>
          </cell>
          <cell r="AO24">
            <v>9.4</v>
          </cell>
          <cell r="AQ24">
            <v>36.44</v>
          </cell>
          <cell r="AR24">
            <v>37.229999999999997</v>
          </cell>
          <cell r="AT24">
            <v>430</v>
          </cell>
          <cell r="AU24">
            <v>350</v>
          </cell>
        </row>
        <row r="25">
          <cell r="AH25" t="str">
            <v>AE</v>
          </cell>
          <cell r="AI25" t="str">
            <v>ALKYD ENAMEL FINISH</v>
          </cell>
          <cell r="AJ25" t="str">
            <v>0162</v>
          </cell>
          <cell r="AK25" t="str">
            <v>502</v>
          </cell>
          <cell r="AL25" t="str">
            <v>110</v>
          </cell>
          <cell r="AM25">
            <v>1</v>
          </cell>
          <cell r="AN25">
            <v>11.9</v>
          </cell>
          <cell r="AO25">
            <v>12.4</v>
          </cell>
          <cell r="AP25">
            <v>12</v>
          </cell>
          <cell r="AQ25">
            <v>35.29</v>
          </cell>
          <cell r="AR25">
            <v>37.1</v>
          </cell>
          <cell r="AS25">
            <v>37.92</v>
          </cell>
          <cell r="AT25">
            <v>420</v>
          </cell>
          <cell r="AU25">
            <v>460</v>
          </cell>
          <cell r="AV25">
            <v>455</v>
          </cell>
        </row>
        <row r="26">
          <cell r="AH26" t="str">
            <v>AP</v>
          </cell>
          <cell r="AI26" t="str">
            <v>ALUMIN PAINT</v>
          </cell>
          <cell r="AJ26" t="str">
            <v>0152</v>
          </cell>
          <cell r="AK26" t="str">
            <v>103</v>
          </cell>
          <cell r="AL26" t="str">
            <v>310</v>
          </cell>
          <cell r="AM26">
            <v>1</v>
          </cell>
          <cell r="AN26">
            <v>10.9</v>
          </cell>
          <cell r="AO26">
            <v>13.5</v>
          </cell>
          <cell r="AP26">
            <v>13.5</v>
          </cell>
          <cell r="AQ26">
            <v>36.700000000000003</v>
          </cell>
          <cell r="AR26">
            <v>34.07</v>
          </cell>
          <cell r="AS26">
            <v>32.44</v>
          </cell>
          <cell r="AT26">
            <v>400</v>
          </cell>
          <cell r="AU26">
            <v>460</v>
          </cell>
          <cell r="AV26">
            <v>438</v>
          </cell>
        </row>
        <row r="27">
          <cell r="AH27" t="str">
            <v>AMF</v>
          </cell>
          <cell r="AI27" t="str">
            <v>PHEN0LIC-MODIFIED ALKYD M.I.O.FINISH</v>
          </cell>
          <cell r="AJ27" t="str">
            <v>4690(Ar-900)</v>
          </cell>
          <cell r="AL27" t="str">
            <v>800</v>
          </cell>
          <cell r="AM27">
            <v>1</v>
          </cell>
          <cell r="AN27">
            <v>19.16</v>
          </cell>
          <cell r="AP27">
            <v>17.8</v>
          </cell>
          <cell r="AQ27">
            <v>26.1</v>
          </cell>
          <cell r="AS27">
            <v>37.869999999999997</v>
          </cell>
          <cell r="AT27">
            <v>500</v>
          </cell>
          <cell r="AV27">
            <v>674</v>
          </cell>
        </row>
        <row r="28">
          <cell r="AH28" t="str">
            <v>GP</v>
          </cell>
          <cell r="AI28" t="str">
            <v>GALVAN. STEEL SHEET EHULSION PAINT</v>
          </cell>
          <cell r="AK28" t="str">
            <v>100(OM-12)</v>
          </cell>
          <cell r="AM28">
            <v>1</v>
          </cell>
          <cell r="AO28">
            <v>14.3</v>
          </cell>
          <cell r="AR28">
            <v>47.55</v>
          </cell>
          <cell r="AU28">
            <v>680</v>
          </cell>
        </row>
        <row r="29">
          <cell r="AI29" t="str">
            <v>EPOXY RESIN</v>
          </cell>
        </row>
        <row r="30">
          <cell r="AH30" t="str">
            <v>ERLP</v>
          </cell>
          <cell r="AI30" t="str">
            <v>EPOXY RED LEAD PRIMER</v>
          </cell>
          <cell r="AJ30" t="str">
            <v>0401</v>
          </cell>
          <cell r="AK30" t="str">
            <v>1007(EP-01)</v>
          </cell>
          <cell r="AM30">
            <v>1</v>
          </cell>
          <cell r="AN30">
            <v>13.7</v>
          </cell>
          <cell r="AO30">
            <v>11.9</v>
          </cell>
          <cell r="AQ30">
            <v>41.61</v>
          </cell>
          <cell r="AR30">
            <v>47.9</v>
          </cell>
          <cell r="AT30">
            <v>570</v>
          </cell>
          <cell r="AU30">
            <v>570</v>
          </cell>
        </row>
        <row r="31">
          <cell r="AH31" t="str">
            <v>EZCP</v>
          </cell>
          <cell r="AI31" t="str">
            <v>EPOXY ZINC CHROMATE PRIMER</v>
          </cell>
          <cell r="AJ31" t="str">
            <v>0411</v>
          </cell>
          <cell r="AK31" t="str">
            <v>1008(EP-09)</v>
          </cell>
          <cell r="AL31" t="str">
            <v>56</v>
          </cell>
          <cell r="AM31">
            <v>1</v>
          </cell>
          <cell r="AN31">
            <v>13.7</v>
          </cell>
          <cell r="AO31">
            <v>13.2</v>
          </cell>
          <cell r="AP31">
            <v>15.7</v>
          </cell>
          <cell r="AQ31">
            <v>41.61</v>
          </cell>
          <cell r="AR31">
            <v>43.18</v>
          </cell>
          <cell r="AS31">
            <v>57.32</v>
          </cell>
          <cell r="AT31">
            <v>570</v>
          </cell>
          <cell r="AU31">
            <v>570</v>
          </cell>
          <cell r="AV31">
            <v>900</v>
          </cell>
        </row>
        <row r="32">
          <cell r="AH32" t="str">
            <v>EZRP</v>
          </cell>
          <cell r="AI32" t="str">
            <v>EPOXY ZINC RICH PRIMER</v>
          </cell>
          <cell r="AJ32" t="str">
            <v>0416</v>
          </cell>
          <cell r="AK32" t="str">
            <v>1006(EP-03)</v>
          </cell>
          <cell r="AL32" t="str">
            <v>63</v>
          </cell>
          <cell r="AM32">
            <v>1</v>
          </cell>
          <cell r="AN32">
            <v>24.9</v>
          </cell>
          <cell r="AO32">
            <v>18.899999999999999</v>
          </cell>
          <cell r="AP32">
            <v>44.29</v>
          </cell>
          <cell r="AQ32">
            <v>44.18</v>
          </cell>
          <cell r="AR32">
            <v>52.91</v>
          </cell>
          <cell r="AS32">
            <v>29.35</v>
          </cell>
          <cell r="AT32">
            <v>1100</v>
          </cell>
          <cell r="AU32">
            <v>1000</v>
          </cell>
          <cell r="AV32">
            <v>1300</v>
          </cell>
        </row>
        <row r="33">
          <cell r="AH33" t="str">
            <v>EROP</v>
          </cell>
          <cell r="AI33" t="str">
            <v>EPOXY RED OXIDE PRIMER</v>
          </cell>
          <cell r="AJ33" t="str">
            <v>0421(Z-500)</v>
          </cell>
          <cell r="AK33" t="str">
            <v>1009(EP-02)</v>
          </cell>
          <cell r="AL33" t="str">
            <v>87</v>
          </cell>
          <cell r="AM33">
            <v>1</v>
          </cell>
          <cell r="AN33">
            <v>11.3</v>
          </cell>
          <cell r="AO33">
            <v>10.9</v>
          </cell>
          <cell r="AP33">
            <v>28.1</v>
          </cell>
          <cell r="AQ33">
            <v>41.59</v>
          </cell>
          <cell r="AR33">
            <v>43.12</v>
          </cell>
          <cell r="AS33">
            <v>39.15</v>
          </cell>
          <cell r="AT33">
            <v>470</v>
          </cell>
          <cell r="AU33">
            <v>470</v>
          </cell>
          <cell r="AV33">
            <v>1100</v>
          </cell>
        </row>
        <row r="34">
          <cell r="AH34" t="str">
            <v>EV</v>
          </cell>
          <cell r="AI34" t="str">
            <v>EPOXY VARNISH</v>
          </cell>
          <cell r="AJ34" t="str">
            <v>0450</v>
          </cell>
          <cell r="AK34" t="str">
            <v>1010</v>
          </cell>
          <cell r="AL34" t="str">
            <v>46</v>
          </cell>
          <cell r="AM34">
            <v>1</v>
          </cell>
          <cell r="AN34">
            <v>19</v>
          </cell>
          <cell r="AO34">
            <v>19.399999999999999</v>
          </cell>
          <cell r="AP34">
            <v>21.1</v>
          </cell>
          <cell r="AQ34">
            <v>28.95</v>
          </cell>
          <cell r="AR34">
            <v>28.35</v>
          </cell>
          <cell r="AS34">
            <v>26.07</v>
          </cell>
          <cell r="AT34">
            <v>550</v>
          </cell>
          <cell r="AU34">
            <v>550</v>
          </cell>
          <cell r="AV34">
            <v>550</v>
          </cell>
        </row>
        <row r="35">
          <cell r="AH35" t="str">
            <v>EFC</v>
          </cell>
          <cell r="AI35" t="str">
            <v>EPOXY FINISH COATING</v>
          </cell>
          <cell r="AJ35" t="str">
            <v>0451</v>
          </cell>
          <cell r="AK35" t="str">
            <v>1001(EP-04)</v>
          </cell>
          <cell r="AL35" t="str">
            <v>86</v>
          </cell>
          <cell r="AM35">
            <v>1</v>
          </cell>
          <cell r="AN35">
            <v>16.8</v>
          </cell>
          <cell r="AO35">
            <v>18.3</v>
          </cell>
          <cell r="AP35">
            <v>34.9</v>
          </cell>
          <cell r="AQ35">
            <v>41.67</v>
          </cell>
          <cell r="AR35">
            <v>38.25</v>
          </cell>
          <cell r="AS35">
            <v>22.92</v>
          </cell>
          <cell r="AT35">
            <v>700</v>
          </cell>
          <cell r="AU35">
            <v>700</v>
          </cell>
          <cell r="AV35">
            <v>800</v>
          </cell>
        </row>
        <row r="36">
          <cell r="AH36" t="str">
            <v>CTE</v>
          </cell>
          <cell r="AI36" t="str">
            <v>COAL TAR EPOXY HB</v>
          </cell>
          <cell r="AJ36" t="str">
            <v>0459</v>
          </cell>
          <cell r="AK36" t="str">
            <v>1004(EP-06)</v>
          </cell>
          <cell r="AL36" t="str">
            <v>58</v>
          </cell>
          <cell r="AM36">
            <v>1</v>
          </cell>
          <cell r="AN36">
            <v>7.9</v>
          </cell>
          <cell r="AO36">
            <v>7.6</v>
          </cell>
          <cell r="AQ36">
            <v>50.63</v>
          </cell>
          <cell r="AR36">
            <v>52.63</v>
          </cell>
          <cell r="AT36">
            <v>400</v>
          </cell>
          <cell r="AU36">
            <v>400</v>
          </cell>
          <cell r="AV36">
            <v>700</v>
          </cell>
        </row>
        <row r="37">
          <cell r="AH37" t="str">
            <v>IZRP</v>
          </cell>
          <cell r="AI37" t="str">
            <v>INORGANIC ZINC RICH PRIMER</v>
          </cell>
          <cell r="AJ37" t="str">
            <v>4120(Z-120HB)</v>
          </cell>
          <cell r="AK37" t="str">
            <v>1011(IZ-01)</v>
          </cell>
          <cell r="AL37" t="str">
            <v>33</v>
          </cell>
          <cell r="AM37">
            <v>1</v>
          </cell>
          <cell r="AN37">
            <v>19.399999999999999</v>
          </cell>
          <cell r="AO37">
            <v>17.16</v>
          </cell>
          <cell r="AP37">
            <v>30.3</v>
          </cell>
          <cell r="AQ37">
            <v>56.7</v>
          </cell>
          <cell r="AR37">
            <v>64.099999999999994</v>
          </cell>
          <cell r="AS37">
            <v>42.9</v>
          </cell>
          <cell r="AT37">
            <v>1100</v>
          </cell>
          <cell r="AU37">
            <v>1100</v>
          </cell>
          <cell r="AV37">
            <v>1300</v>
          </cell>
        </row>
        <row r="38">
          <cell r="AH38" t="str">
            <v>EATP</v>
          </cell>
          <cell r="AI38" t="str">
            <v>EPOXY ALUMINUM TRIPOLYPHOSPHATE PRIMER</v>
          </cell>
          <cell r="AJ38" t="str">
            <v>A-536</v>
          </cell>
          <cell r="AK38" t="str">
            <v>1075</v>
          </cell>
          <cell r="AL38" t="str">
            <v>57</v>
          </cell>
          <cell r="AM38">
            <v>1</v>
          </cell>
          <cell r="AN38">
            <v>18.7</v>
          </cell>
          <cell r="AO38">
            <v>14.7</v>
          </cell>
          <cell r="AP38">
            <v>15.5</v>
          </cell>
          <cell r="AQ38">
            <v>42.78</v>
          </cell>
          <cell r="AR38">
            <v>42.86</v>
          </cell>
          <cell r="AS38">
            <v>39.03</v>
          </cell>
          <cell r="AT38">
            <v>800</v>
          </cell>
          <cell r="AU38">
            <v>630</v>
          </cell>
          <cell r="AV38">
            <v>605</v>
          </cell>
        </row>
        <row r="39">
          <cell r="AH39" t="str">
            <v>EBZRP</v>
          </cell>
          <cell r="AI39" t="str">
            <v>EPOXY CURED BASED ZINC RICH PRIMER</v>
          </cell>
          <cell r="AJ39" t="str">
            <v>4180(Z-800)</v>
          </cell>
          <cell r="AK39" t="str">
            <v>1002</v>
          </cell>
          <cell r="AM39">
            <v>1</v>
          </cell>
          <cell r="AN39">
            <v>27.3</v>
          </cell>
          <cell r="AO39">
            <v>15.7</v>
          </cell>
          <cell r="AQ39">
            <v>40.29</v>
          </cell>
          <cell r="AR39">
            <v>38.22</v>
          </cell>
          <cell r="AT39">
            <v>1100</v>
          </cell>
          <cell r="AU39">
            <v>600</v>
          </cell>
        </row>
        <row r="40">
          <cell r="AH40" t="str">
            <v>HBEP</v>
          </cell>
          <cell r="AI40" t="str">
            <v>HIGH BUILD EPOXY POLYAMINE CURED</v>
          </cell>
          <cell r="AJ40" t="str">
            <v>4418(A-418)</v>
          </cell>
          <cell r="AK40" t="str">
            <v>1015</v>
          </cell>
          <cell r="AM40">
            <v>1</v>
          </cell>
          <cell r="AN40">
            <v>18.3</v>
          </cell>
          <cell r="AO40">
            <v>13.1</v>
          </cell>
          <cell r="AQ40">
            <v>65.569999999999993</v>
          </cell>
          <cell r="AR40">
            <v>83.97</v>
          </cell>
          <cell r="AT40">
            <v>1200</v>
          </cell>
          <cell r="AU40">
            <v>1100</v>
          </cell>
        </row>
        <row r="41">
          <cell r="AH41" t="str">
            <v>HBCP</v>
          </cell>
          <cell r="AI41" t="str">
            <v>HIGH BUILD EPOXY POLYAMINE CURED PRIMER</v>
          </cell>
          <cell r="AJ41" t="str">
            <v>4418(A-448)</v>
          </cell>
          <cell r="AK41">
            <v>1017</v>
          </cell>
          <cell r="AM41">
            <v>1</v>
          </cell>
          <cell r="AN41">
            <v>20.309999999999999</v>
          </cell>
          <cell r="AO41">
            <v>13.1</v>
          </cell>
          <cell r="AQ41">
            <v>64</v>
          </cell>
          <cell r="AR41">
            <v>83.97</v>
          </cell>
          <cell r="AT41">
            <v>1300</v>
          </cell>
          <cell r="AU41">
            <v>1100</v>
          </cell>
        </row>
        <row r="42">
          <cell r="AH42" t="str">
            <v>EEA</v>
          </cell>
          <cell r="AI42" t="str">
            <v>EPOXY ENAMEL AMINE ADDUCT CURED</v>
          </cell>
          <cell r="AJ42" t="str">
            <v>4450(A-500)</v>
          </cell>
          <cell r="AK42" t="str">
            <v>1014</v>
          </cell>
          <cell r="AM42">
            <v>1</v>
          </cell>
          <cell r="AN42">
            <v>23.8</v>
          </cell>
          <cell r="AO42">
            <v>11.4</v>
          </cell>
          <cell r="AQ42">
            <v>37.82</v>
          </cell>
          <cell r="AR42">
            <v>83.33</v>
          </cell>
          <cell r="AT42">
            <v>900</v>
          </cell>
          <cell r="AU42">
            <v>950</v>
          </cell>
        </row>
        <row r="43">
          <cell r="AH43" t="str">
            <v>NEP</v>
          </cell>
          <cell r="AI43" t="str">
            <v>NON-REACTIVE EPOXY PRIMER</v>
          </cell>
          <cell r="AJ43" t="str">
            <v>4405(A-505)</v>
          </cell>
          <cell r="AM43">
            <v>1</v>
          </cell>
          <cell r="AN43">
            <v>19.2</v>
          </cell>
          <cell r="AQ43">
            <v>41.67</v>
          </cell>
          <cell r="AT43">
            <v>800</v>
          </cell>
        </row>
        <row r="44">
          <cell r="AH44" t="str">
            <v>ZCOP</v>
          </cell>
          <cell r="AI44" t="str">
            <v>ZINC CHROMATE-RED OXIDE/EPOXY PRIMER</v>
          </cell>
          <cell r="AJ44" t="str">
            <v>4451(A-510)</v>
          </cell>
          <cell r="AK44" t="str">
            <v>1016</v>
          </cell>
          <cell r="AM44">
            <v>1</v>
          </cell>
          <cell r="AN44">
            <v>18.2</v>
          </cell>
          <cell r="AO44">
            <v>8.1999999999999993</v>
          </cell>
          <cell r="AQ44">
            <v>42.86</v>
          </cell>
          <cell r="AR44">
            <v>85.37</v>
          </cell>
          <cell r="AT44">
            <v>780</v>
          </cell>
          <cell r="AU44">
            <v>700</v>
          </cell>
        </row>
        <row r="45">
          <cell r="AH45" t="str">
            <v>EPC</v>
          </cell>
          <cell r="AI45" t="str">
            <v>EPOXY ENAMEL/POLYAMIDE CURED</v>
          </cell>
          <cell r="AJ45" t="str">
            <v>4415(A-515)</v>
          </cell>
          <cell r="AM45">
            <v>1</v>
          </cell>
          <cell r="AN45">
            <v>19.8</v>
          </cell>
          <cell r="AQ45">
            <v>42.93</v>
          </cell>
          <cell r="AT45">
            <v>850</v>
          </cell>
        </row>
        <row r="46">
          <cell r="AI46" t="str">
            <v>EPOXY NON-SKID SURFACING</v>
          </cell>
          <cell r="AJ46" t="str">
            <v>4425(A-525)</v>
          </cell>
          <cell r="AK46" t="str">
            <v>1018</v>
          </cell>
          <cell r="AM46">
            <v>1</v>
          </cell>
          <cell r="AN46">
            <v>18</v>
          </cell>
          <cell r="AO46">
            <v>31.3</v>
          </cell>
          <cell r="AQ46">
            <v>37.78</v>
          </cell>
          <cell r="AR46">
            <v>47.92</v>
          </cell>
          <cell r="AT46">
            <v>680</v>
          </cell>
          <cell r="AU46">
            <v>1500</v>
          </cell>
        </row>
        <row r="47">
          <cell r="AH47" t="str">
            <v>EPAP</v>
          </cell>
          <cell r="AI47" t="str">
            <v>EPOXY-POLYAMIDE,ALLOY PRIMER.</v>
          </cell>
          <cell r="AJ47" t="str">
            <v>4465(A-650)</v>
          </cell>
          <cell r="AK47">
            <v>1020</v>
          </cell>
          <cell r="AM47">
            <v>1</v>
          </cell>
          <cell r="AN47">
            <v>21</v>
          </cell>
          <cell r="AO47">
            <v>26.92</v>
          </cell>
          <cell r="AQ47">
            <v>42.86</v>
          </cell>
          <cell r="AR47">
            <v>13</v>
          </cell>
          <cell r="AT47">
            <v>900</v>
          </cell>
          <cell r="AU47">
            <v>350</v>
          </cell>
        </row>
        <row r="48">
          <cell r="AI48" t="str">
            <v>LEAD SILICO CHROMATE EP.PRI./POLYAMIDE CURED</v>
          </cell>
          <cell r="AJ48" t="str">
            <v>4430(A-530)</v>
          </cell>
          <cell r="AM48">
            <v>1</v>
          </cell>
          <cell r="AN48">
            <v>21.97</v>
          </cell>
          <cell r="AQ48">
            <v>37.78</v>
          </cell>
          <cell r="AT48">
            <v>830</v>
          </cell>
        </row>
        <row r="49">
          <cell r="AH49" t="str">
            <v>ERLP</v>
          </cell>
          <cell r="AI49" t="str">
            <v>EPOXY RED LEAD POLYAMIDE CURED PRIMER</v>
          </cell>
          <cell r="AJ49" t="str">
            <v>4440(A-540)</v>
          </cell>
          <cell r="AK49" t="str">
            <v>1051</v>
          </cell>
          <cell r="AM49">
            <v>1</v>
          </cell>
          <cell r="AN49">
            <v>19.399999999999999</v>
          </cell>
          <cell r="AO49">
            <v>15.8</v>
          </cell>
          <cell r="AQ49">
            <v>42.78</v>
          </cell>
          <cell r="AR49">
            <v>43.04</v>
          </cell>
          <cell r="AT49">
            <v>830</v>
          </cell>
          <cell r="AU49">
            <v>680</v>
          </cell>
        </row>
        <row r="50">
          <cell r="AI50" t="str">
            <v>RED LEAD-RED OXIDE EP./POLYAMIDE CURED PRI.</v>
          </cell>
          <cell r="AJ50" t="str">
            <v>4445(A-545)</v>
          </cell>
          <cell r="AK50" t="str">
            <v>1060</v>
          </cell>
          <cell r="AM50">
            <v>1</v>
          </cell>
          <cell r="AN50">
            <v>18.7</v>
          </cell>
          <cell r="AO50">
            <v>20.9</v>
          </cell>
          <cell r="AQ50">
            <v>42.78</v>
          </cell>
          <cell r="AR50">
            <v>28.71</v>
          </cell>
          <cell r="AT50">
            <v>800</v>
          </cell>
          <cell r="AU50">
            <v>600</v>
          </cell>
        </row>
        <row r="51">
          <cell r="AH51" t="str">
            <v>ETC</v>
          </cell>
          <cell r="AI51" t="str">
            <v>TAR EPOXY COATING/POLYAMIDE CURED</v>
          </cell>
          <cell r="AJ51" t="str">
            <v>4460(A-560)</v>
          </cell>
          <cell r="AK51" t="str">
            <v>1070(EP-10)</v>
          </cell>
          <cell r="AM51">
            <v>1</v>
          </cell>
          <cell r="AN51">
            <v>11.69</v>
          </cell>
          <cell r="AO51">
            <v>12.2</v>
          </cell>
          <cell r="AQ51">
            <v>42.78</v>
          </cell>
          <cell r="AR51">
            <v>57.38</v>
          </cell>
          <cell r="AT51">
            <v>500</v>
          </cell>
          <cell r="AU51">
            <v>700</v>
          </cell>
        </row>
        <row r="52">
          <cell r="AH52" t="str">
            <v>EWB</v>
          </cell>
          <cell r="AI52" t="str">
            <v>WATER BASE EPOXY ENAMEL/POLTAMINE CURED</v>
          </cell>
          <cell r="AJ52" t="str">
            <v>4458(A-580)</v>
          </cell>
          <cell r="AK52" t="str">
            <v>1017(EP-07)</v>
          </cell>
          <cell r="AL52" t="str">
            <v>96</v>
          </cell>
          <cell r="AM52">
            <v>1</v>
          </cell>
          <cell r="AN52">
            <v>34.4</v>
          </cell>
          <cell r="AO52">
            <v>16</v>
          </cell>
          <cell r="AP52">
            <v>32.700000000000003</v>
          </cell>
          <cell r="AQ52">
            <v>37.79</v>
          </cell>
          <cell r="AR52">
            <v>43.75</v>
          </cell>
          <cell r="AS52">
            <v>45.87</v>
          </cell>
          <cell r="AT52">
            <v>1300</v>
          </cell>
          <cell r="AU52">
            <v>700</v>
          </cell>
          <cell r="AV52">
            <v>1500</v>
          </cell>
        </row>
        <row r="53">
          <cell r="AH53" t="str">
            <v>CCTE</v>
          </cell>
          <cell r="AI53" t="str">
            <v>CATALYZED COAL TAR EPOXY POLYAMINE CURED</v>
          </cell>
          <cell r="AJ53" t="str">
            <v>4459(A-590)</v>
          </cell>
          <cell r="AK53" t="str">
            <v>SP-06</v>
          </cell>
          <cell r="AM53">
            <v>1</v>
          </cell>
          <cell r="AN53">
            <v>12.6</v>
          </cell>
          <cell r="AO53">
            <v>32.1</v>
          </cell>
          <cell r="AQ53">
            <v>55.56</v>
          </cell>
          <cell r="AR53">
            <v>42.37</v>
          </cell>
          <cell r="AT53">
            <v>700</v>
          </cell>
          <cell r="AU53">
            <v>1360</v>
          </cell>
        </row>
        <row r="54">
          <cell r="AH54" t="str">
            <v>EPF</v>
          </cell>
          <cell r="AI54" t="str">
            <v>EPOXY-POLYAMINE,FINISH</v>
          </cell>
          <cell r="AJ54" t="str">
            <v>4465(A-650)</v>
          </cell>
          <cell r="AK54" t="str">
            <v>SP-08</v>
          </cell>
          <cell r="AM54">
            <v>1</v>
          </cell>
          <cell r="AN54">
            <v>21</v>
          </cell>
          <cell r="AO54">
            <v>24.4</v>
          </cell>
          <cell r="AQ54">
            <v>42.86</v>
          </cell>
          <cell r="AR54">
            <v>25</v>
          </cell>
          <cell r="AT54">
            <v>900</v>
          </cell>
          <cell r="AU54">
            <v>610</v>
          </cell>
        </row>
        <row r="55">
          <cell r="AH55" t="str">
            <v>EPRLP</v>
          </cell>
          <cell r="AI55" t="str">
            <v>EPOXY/POLYAMINE,RED LEAD PRIMER</v>
          </cell>
          <cell r="AJ55" t="str">
            <v>4570(A-700)</v>
          </cell>
          <cell r="AK55" t="str">
            <v>SP-09</v>
          </cell>
          <cell r="AM55">
            <v>1</v>
          </cell>
          <cell r="AN55">
            <v>21</v>
          </cell>
          <cell r="AO55">
            <v>32</v>
          </cell>
          <cell r="AQ55">
            <v>42.86</v>
          </cell>
          <cell r="AR55">
            <v>23.75</v>
          </cell>
          <cell r="AT55">
            <v>900</v>
          </cell>
          <cell r="AU55">
            <v>760</v>
          </cell>
        </row>
        <row r="56">
          <cell r="AH56" t="str">
            <v>EMOP</v>
          </cell>
          <cell r="AI56" t="str">
            <v>EPOXY MIO PRIMER</v>
          </cell>
          <cell r="AJ56" t="str">
            <v>4691(Ar-910)</v>
          </cell>
          <cell r="AK56" t="str">
            <v>1050(EP-20)</v>
          </cell>
          <cell r="AL56" t="str">
            <v>76</v>
          </cell>
          <cell r="AM56">
            <v>1</v>
          </cell>
          <cell r="AN56">
            <v>17.3</v>
          </cell>
          <cell r="AO56">
            <v>9.2799999999999994</v>
          </cell>
          <cell r="AP56">
            <v>30.9</v>
          </cell>
          <cell r="AQ56">
            <v>43.35</v>
          </cell>
          <cell r="AR56">
            <v>31.25</v>
          </cell>
          <cell r="AS56">
            <v>25.89</v>
          </cell>
          <cell r="AT56">
            <v>750</v>
          </cell>
          <cell r="AU56">
            <v>290</v>
          </cell>
          <cell r="AV56">
            <v>800</v>
          </cell>
        </row>
        <row r="57">
          <cell r="AH57" t="str">
            <v>EMP</v>
          </cell>
          <cell r="AI57" t="str">
            <v>EPOXY MIDDLE PRIMER</v>
          </cell>
          <cell r="AJ57" t="str">
            <v>4691(Ar-910)</v>
          </cell>
          <cell r="AK57" t="str">
            <v>1060</v>
          </cell>
          <cell r="AL57" t="str">
            <v>76</v>
          </cell>
          <cell r="AM57">
            <v>1</v>
          </cell>
          <cell r="AN57">
            <v>17.3</v>
          </cell>
          <cell r="AO57">
            <v>19.2</v>
          </cell>
          <cell r="AP57">
            <v>30.9</v>
          </cell>
          <cell r="AQ57">
            <v>43.35</v>
          </cell>
          <cell r="AR57">
            <v>31.25</v>
          </cell>
          <cell r="AS57">
            <v>25.89</v>
          </cell>
          <cell r="AT57">
            <v>750</v>
          </cell>
          <cell r="AU57">
            <v>600</v>
          </cell>
          <cell r="AV57">
            <v>800</v>
          </cell>
        </row>
        <row r="59">
          <cell r="AI59" t="str">
            <v>CHLORINATED RUBBER RESIN</v>
          </cell>
        </row>
        <row r="60">
          <cell r="AH60" t="str">
            <v>CRRLP</v>
          </cell>
          <cell r="AI60" t="str">
            <v>CALORINATED RUBBER RED LEAD PRIMER</v>
          </cell>
          <cell r="AJ60" t="str">
            <v>0201</v>
          </cell>
          <cell r="AK60" t="str">
            <v>1402(RF-63)</v>
          </cell>
          <cell r="AL60" t="str">
            <v>530</v>
          </cell>
          <cell r="AM60">
            <v>1</v>
          </cell>
          <cell r="AN60">
            <v>14.7</v>
          </cell>
          <cell r="AO60">
            <v>12.9</v>
          </cell>
          <cell r="AP60">
            <v>15.5</v>
          </cell>
          <cell r="AQ60">
            <v>32.65</v>
          </cell>
          <cell r="AR60">
            <v>37.979999999999997</v>
          </cell>
          <cell r="AS60">
            <v>36.450000000000003</v>
          </cell>
          <cell r="AT60">
            <v>480</v>
          </cell>
          <cell r="AU60">
            <v>490</v>
          </cell>
          <cell r="AV60">
            <v>565</v>
          </cell>
        </row>
        <row r="61">
          <cell r="AH61" t="str">
            <v>CRZCP</v>
          </cell>
          <cell r="AI61" t="str">
            <v>CHLORINATED RUBBER PRIMER ZINC CHROMATE PR.</v>
          </cell>
          <cell r="AJ61" t="str">
            <v>0211</v>
          </cell>
          <cell r="AK61" t="str">
            <v>1450(RF-67)</v>
          </cell>
          <cell r="AL61" t="str">
            <v>540</v>
          </cell>
          <cell r="AM61">
            <v>1</v>
          </cell>
          <cell r="AN61">
            <v>15.5</v>
          </cell>
          <cell r="AO61">
            <v>11.3</v>
          </cell>
          <cell r="AP61">
            <v>14.1</v>
          </cell>
          <cell r="AQ61">
            <v>30.97</v>
          </cell>
          <cell r="AR61">
            <v>42.48</v>
          </cell>
          <cell r="AS61">
            <v>36.450000000000003</v>
          </cell>
          <cell r="AT61">
            <v>480</v>
          </cell>
          <cell r="AU61">
            <v>480</v>
          </cell>
          <cell r="AV61">
            <v>514</v>
          </cell>
        </row>
        <row r="62">
          <cell r="AH62" t="str">
            <v>CRROP</v>
          </cell>
          <cell r="AI62" t="str">
            <v>CHLORINATED RUBBER RED OXIDE PRIMER</v>
          </cell>
          <cell r="AJ62" t="str">
            <v>0221</v>
          </cell>
          <cell r="AK62" t="str">
            <v>1403(RF-65)</v>
          </cell>
          <cell r="AL62" t="str">
            <v>510</v>
          </cell>
          <cell r="AM62">
            <v>1</v>
          </cell>
          <cell r="AN62">
            <v>14.6</v>
          </cell>
          <cell r="AO62">
            <v>12.1</v>
          </cell>
          <cell r="AP62">
            <v>31</v>
          </cell>
          <cell r="AQ62">
            <v>30.82</v>
          </cell>
          <cell r="AR62">
            <v>38.020000000000003</v>
          </cell>
          <cell r="AS62">
            <v>38.549999999999997</v>
          </cell>
          <cell r="AT62">
            <v>450</v>
          </cell>
          <cell r="AU62">
            <v>460</v>
          </cell>
          <cell r="AV62">
            <v>1195</v>
          </cell>
        </row>
        <row r="63">
          <cell r="AH63" t="str">
            <v>CRF</v>
          </cell>
          <cell r="AI63" t="str">
            <v>CHLORINATED RUBBER FINISH</v>
          </cell>
          <cell r="AJ63" t="str">
            <v>0251</v>
          </cell>
          <cell r="AK63" t="str">
            <v>1401</v>
          </cell>
          <cell r="AL63" t="str">
            <v>520</v>
          </cell>
          <cell r="AM63">
            <v>1</v>
          </cell>
          <cell r="AN63">
            <v>18.899999999999999</v>
          </cell>
          <cell r="AO63">
            <v>15.8</v>
          </cell>
          <cell r="AP63">
            <v>16.7</v>
          </cell>
          <cell r="AQ63">
            <v>31.75</v>
          </cell>
          <cell r="AR63">
            <v>34.18</v>
          </cell>
          <cell r="AS63">
            <v>33.83</v>
          </cell>
          <cell r="AT63">
            <v>600</v>
          </cell>
          <cell r="AU63">
            <v>540</v>
          </cell>
          <cell r="AV63">
            <v>565</v>
          </cell>
        </row>
        <row r="64">
          <cell r="AH64" t="str">
            <v>CRATP</v>
          </cell>
          <cell r="AI64" t="str">
            <v>C RUBBER ALUMINUM TRIPOLYPHOSPHATE PRIMER</v>
          </cell>
          <cell r="AJ64" t="str">
            <v>0203</v>
          </cell>
          <cell r="AL64" t="str">
            <v>531</v>
          </cell>
          <cell r="AM64">
            <v>1</v>
          </cell>
          <cell r="AN64">
            <v>13.4</v>
          </cell>
          <cell r="AP64">
            <v>14.5</v>
          </cell>
          <cell r="AQ64">
            <v>37.31</v>
          </cell>
          <cell r="AS64">
            <v>36.409999999999997</v>
          </cell>
          <cell r="AT64">
            <v>500</v>
          </cell>
          <cell r="AV64">
            <v>528</v>
          </cell>
        </row>
        <row r="65">
          <cell r="AH65" t="str">
            <v>PCRF</v>
          </cell>
          <cell r="AI65" t="str">
            <v>PIGMENTED CHLORINATED RUBBER FINISH</v>
          </cell>
          <cell r="AJ65" t="str">
            <v>4470(C-700)</v>
          </cell>
          <cell r="AK65" t="str">
            <v>RF-51~56</v>
          </cell>
          <cell r="AL65" t="str">
            <v>560</v>
          </cell>
          <cell r="AM65">
            <v>1</v>
          </cell>
          <cell r="AN65">
            <v>27.1</v>
          </cell>
          <cell r="AO65">
            <v>12.3</v>
          </cell>
          <cell r="AP65">
            <v>13.5</v>
          </cell>
          <cell r="AQ65">
            <v>33.21</v>
          </cell>
          <cell r="AR65">
            <v>38.21</v>
          </cell>
          <cell r="AS65">
            <v>33.78</v>
          </cell>
          <cell r="AT65">
            <v>900</v>
          </cell>
          <cell r="AU65">
            <v>470</v>
          </cell>
          <cell r="AV65">
            <v>456</v>
          </cell>
        </row>
        <row r="66">
          <cell r="AH66" t="str">
            <v>CRRLP</v>
          </cell>
          <cell r="AI66" t="str">
            <v>CHLORINATED RUBBER RED LEAD PRIMER</v>
          </cell>
          <cell r="AJ66" t="str">
            <v>4575(C-750)</v>
          </cell>
          <cell r="AL66" t="str">
            <v>500</v>
          </cell>
          <cell r="AM66">
            <v>1</v>
          </cell>
          <cell r="AN66">
            <v>17.2</v>
          </cell>
          <cell r="AP66">
            <v>15</v>
          </cell>
          <cell r="AQ66">
            <v>37.79</v>
          </cell>
          <cell r="AS66">
            <v>30.4</v>
          </cell>
          <cell r="AT66">
            <v>650</v>
          </cell>
          <cell r="AV66">
            <v>456</v>
          </cell>
        </row>
        <row r="67">
          <cell r="AH67" t="str">
            <v>CRROP</v>
          </cell>
          <cell r="AI67" t="str">
            <v>CHLORINATED RUBBER RED LEAD-RED OXIDE PRIMER</v>
          </cell>
          <cell r="AJ67" t="str">
            <v>4576(C-760)</v>
          </cell>
          <cell r="AL67" t="str">
            <v>550</v>
          </cell>
          <cell r="AM67">
            <v>1</v>
          </cell>
          <cell r="AN67">
            <v>15.9</v>
          </cell>
          <cell r="AP67">
            <v>14.8</v>
          </cell>
          <cell r="AQ67">
            <v>38.99</v>
          </cell>
          <cell r="AS67">
            <v>33.78</v>
          </cell>
          <cell r="AT67">
            <v>620</v>
          </cell>
          <cell r="AV67">
            <v>500</v>
          </cell>
        </row>
        <row r="68">
          <cell r="AI68" t="str">
            <v>CHLORINATED RUBBER BASE M.I.O.COATING</v>
          </cell>
          <cell r="AJ68" t="str">
            <v>4693(Ar-930)</v>
          </cell>
          <cell r="AK68" t="str">
            <v>1452(RF-68)</v>
          </cell>
          <cell r="AL68" t="str">
            <v>600</v>
          </cell>
          <cell r="AM68">
            <v>1</v>
          </cell>
          <cell r="AN68">
            <v>16.399999999999999</v>
          </cell>
          <cell r="AO68">
            <v>13.2</v>
          </cell>
          <cell r="AP68">
            <v>14.8</v>
          </cell>
          <cell r="AQ68">
            <v>37.799999999999997</v>
          </cell>
          <cell r="AR68">
            <v>37.880000000000003</v>
          </cell>
          <cell r="AS68">
            <v>33.72</v>
          </cell>
          <cell r="AT68">
            <v>620</v>
          </cell>
          <cell r="AU68">
            <v>500</v>
          </cell>
          <cell r="AV68">
            <v>499</v>
          </cell>
        </row>
        <row r="71">
          <cell r="AI71" t="str">
            <v>SILICONE RESIN</v>
          </cell>
        </row>
        <row r="72">
          <cell r="AH72" t="str">
            <v>HP200</v>
          </cell>
          <cell r="AI72" t="str">
            <v>HEAT-RESISTING PRIMER 200'C</v>
          </cell>
          <cell r="AJ72" t="str">
            <v>0631</v>
          </cell>
          <cell r="AK72" t="str">
            <v>1512</v>
          </cell>
          <cell r="AM72">
            <v>1</v>
          </cell>
          <cell r="AN72">
            <v>16.5</v>
          </cell>
          <cell r="AO72">
            <v>26.2</v>
          </cell>
          <cell r="AQ72">
            <v>36.36</v>
          </cell>
          <cell r="AR72">
            <v>38.17</v>
          </cell>
          <cell r="AT72">
            <v>600</v>
          </cell>
          <cell r="AU72">
            <v>1000</v>
          </cell>
        </row>
        <row r="73">
          <cell r="AH73" t="str">
            <v>HP300</v>
          </cell>
          <cell r="AI73" t="str">
            <v>HEAT-RESISTING PRIMER 300'C</v>
          </cell>
          <cell r="AJ73" t="str">
            <v>0632</v>
          </cell>
          <cell r="AK73" t="str">
            <v>1507</v>
          </cell>
          <cell r="AL73" t="str">
            <v>330-1</v>
          </cell>
          <cell r="AM73">
            <v>1</v>
          </cell>
          <cell r="AN73">
            <v>20.7</v>
          </cell>
          <cell r="AO73">
            <v>20.399999999999999</v>
          </cell>
          <cell r="AP73">
            <v>29</v>
          </cell>
          <cell r="AQ73">
            <v>36.229999999999997</v>
          </cell>
          <cell r="AR73">
            <v>38.24</v>
          </cell>
          <cell r="AS73">
            <v>33.76</v>
          </cell>
          <cell r="AT73">
            <v>750</v>
          </cell>
          <cell r="AU73">
            <v>780</v>
          </cell>
          <cell r="AV73">
            <v>979</v>
          </cell>
        </row>
        <row r="74">
          <cell r="AH74" t="str">
            <v>HP500</v>
          </cell>
          <cell r="AI74" t="str">
            <v>HEAT-RESISTING PRIMER 500'C</v>
          </cell>
          <cell r="AJ74" t="str">
            <v>0634</v>
          </cell>
          <cell r="AK74" t="str">
            <v>1501</v>
          </cell>
          <cell r="AM74">
            <v>1</v>
          </cell>
          <cell r="AN74">
            <v>35.799999999999997</v>
          </cell>
          <cell r="AO74">
            <v>34.1</v>
          </cell>
          <cell r="AQ74">
            <v>36.31</v>
          </cell>
          <cell r="AR74">
            <v>38.119999999999997</v>
          </cell>
          <cell r="AT74">
            <v>1300</v>
          </cell>
          <cell r="AU74">
            <v>1300</v>
          </cell>
        </row>
        <row r="75">
          <cell r="AH75" t="str">
            <v>HP600</v>
          </cell>
          <cell r="AI75" t="str">
            <v>HEAT-RESISTING PRIMER 600'C</v>
          </cell>
          <cell r="AJ75" t="str">
            <v>0635</v>
          </cell>
          <cell r="AK75" t="str">
            <v>1500</v>
          </cell>
          <cell r="AL75" t="str">
            <v>320-1</v>
          </cell>
          <cell r="AM75">
            <v>1</v>
          </cell>
          <cell r="AN75">
            <v>44.09</v>
          </cell>
          <cell r="AO75">
            <v>34.1</v>
          </cell>
          <cell r="AP75">
            <v>44.4</v>
          </cell>
          <cell r="AQ75">
            <v>31.75</v>
          </cell>
          <cell r="AR75">
            <v>38.119999999999997</v>
          </cell>
          <cell r="AS75">
            <v>33.78</v>
          </cell>
          <cell r="AT75">
            <v>1400</v>
          </cell>
          <cell r="AU75">
            <v>1300</v>
          </cell>
          <cell r="AV75">
            <v>1500</v>
          </cell>
        </row>
        <row r="76">
          <cell r="AH76" t="str">
            <v>HF200</v>
          </cell>
          <cell r="AI76" t="str">
            <v>HEAT-RESISTING PAINT 200'C SILICONE RESIN.</v>
          </cell>
          <cell r="AJ76" t="str">
            <v>0651</v>
          </cell>
          <cell r="AK76" t="str">
            <v>1504</v>
          </cell>
          <cell r="AM76">
            <v>1</v>
          </cell>
          <cell r="AN76">
            <v>17.5</v>
          </cell>
          <cell r="AO76">
            <v>27.3</v>
          </cell>
          <cell r="AQ76">
            <v>30.29</v>
          </cell>
          <cell r="AR76">
            <v>28.57</v>
          </cell>
          <cell r="AT76">
            <v>530</v>
          </cell>
          <cell r="AU76">
            <v>780</v>
          </cell>
        </row>
        <row r="77">
          <cell r="AH77" t="str">
            <v>HF300</v>
          </cell>
          <cell r="AI77" t="str">
            <v>HEAT-RESISTING PAINT 300'C SILICONE RESIN.</v>
          </cell>
          <cell r="AJ77" t="str">
            <v>0652</v>
          </cell>
          <cell r="AK77" t="str">
            <v>1505</v>
          </cell>
          <cell r="AL77" t="str">
            <v>330</v>
          </cell>
          <cell r="AM77">
            <v>1</v>
          </cell>
          <cell r="AN77">
            <v>27.6</v>
          </cell>
          <cell r="AO77">
            <v>27.3</v>
          </cell>
          <cell r="AP77">
            <v>28.4</v>
          </cell>
          <cell r="AQ77">
            <v>27.17</v>
          </cell>
          <cell r="AR77">
            <v>28.57</v>
          </cell>
          <cell r="AS77">
            <v>32.54</v>
          </cell>
          <cell r="AT77">
            <v>750</v>
          </cell>
          <cell r="AU77">
            <v>780</v>
          </cell>
          <cell r="AV77">
            <v>924</v>
          </cell>
        </row>
        <row r="78">
          <cell r="AH78" t="str">
            <v>HF400</v>
          </cell>
          <cell r="AI78" t="str">
            <v>HEAT-RESISTING PAINT 400'C SILICONE RESIN.</v>
          </cell>
          <cell r="AJ78" t="str">
            <v>0654</v>
          </cell>
          <cell r="AK78" t="str">
            <v>1503</v>
          </cell>
          <cell r="AM78">
            <v>1</v>
          </cell>
          <cell r="AN78">
            <v>51.61</v>
          </cell>
          <cell r="AO78">
            <v>59.4</v>
          </cell>
          <cell r="AQ78">
            <v>25.19</v>
          </cell>
          <cell r="AR78">
            <v>28.62</v>
          </cell>
          <cell r="AT78">
            <v>1300</v>
          </cell>
          <cell r="AU78">
            <v>1700</v>
          </cell>
        </row>
        <row r="79">
          <cell r="AH79" t="str">
            <v>HF600</v>
          </cell>
          <cell r="AI79" t="str">
            <v>HEAT-RESISTING PAINT 600'C</v>
          </cell>
          <cell r="AJ79" t="str">
            <v>0655</v>
          </cell>
          <cell r="AK79" t="str">
            <v>1508</v>
          </cell>
          <cell r="AL79" t="str">
            <v>320</v>
          </cell>
          <cell r="AM79">
            <v>1</v>
          </cell>
          <cell r="AN79">
            <v>74.400000000000006</v>
          </cell>
          <cell r="AO79">
            <v>52.39</v>
          </cell>
          <cell r="AP79">
            <v>43.5</v>
          </cell>
          <cell r="AQ79">
            <v>20.16</v>
          </cell>
          <cell r="AR79">
            <v>28.63</v>
          </cell>
          <cell r="AS79">
            <v>32.479999999999997</v>
          </cell>
          <cell r="AT79">
            <v>1500</v>
          </cell>
          <cell r="AU79">
            <v>1500</v>
          </cell>
          <cell r="AV79">
            <v>1413</v>
          </cell>
        </row>
        <row r="80">
          <cell r="AH80" t="str">
            <v>ITIP</v>
          </cell>
          <cell r="AI80" t="str">
            <v>THERMOINDICATIVE PAINT INTERBOND TEMP. INDICATING PAINT</v>
          </cell>
          <cell r="AJ80" t="str">
            <v>0654</v>
          </cell>
          <cell r="AK80" t="str">
            <v>HAA-705</v>
          </cell>
          <cell r="AM80">
            <v>1</v>
          </cell>
          <cell r="AN80">
            <v>51.61</v>
          </cell>
          <cell r="AO80">
            <v>68</v>
          </cell>
          <cell r="AQ80">
            <v>25.19</v>
          </cell>
          <cell r="AR80">
            <v>10</v>
          </cell>
          <cell r="AT80">
            <v>1300</v>
          </cell>
          <cell r="AU80">
            <v>680</v>
          </cell>
        </row>
        <row r="82">
          <cell r="AI82" t="str">
            <v>POLY-VINYL BUTYRAL RESIN (PVB)</v>
          </cell>
        </row>
        <row r="83">
          <cell r="AH83" t="str">
            <v>VRLP</v>
          </cell>
          <cell r="AI83" t="str">
            <v>VINYL RED LEAD PRIMER</v>
          </cell>
          <cell r="AJ83" t="str">
            <v>0301</v>
          </cell>
          <cell r="AK83" t="str">
            <v>SP30(VP-71)</v>
          </cell>
          <cell r="AL83" t="str">
            <v>21</v>
          </cell>
          <cell r="AM83">
            <v>1</v>
          </cell>
          <cell r="AN83">
            <v>21.8</v>
          </cell>
          <cell r="AO83">
            <v>25.3</v>
          </cell>
          <cell r="AP83">
            <v>64.900000000000006</v>
          </cell>
          <cell r="AQ83">
            <v>25.23</v>
          </cell>
          <cell r="AR83">
            <v>23.72</v>
          </cell>
          <cell r="AS83">
            <v>21.57</v>
          </cell>
          <cell r="AT83">
            <v>550</v>
          </cell>
          <cell r="AU83">
            <v>600</v>
          </cell>
          <cell r="AV83">
            <v>1400</v>
          </cell>
        </row>
        <row r="84">
          <cell r="AH84" t="str">
            <v>VZCP</v>
          </cell>
          <cell r="AI84" t="str">
            <v>VINYL ZINC CHRMATE PRIMER</v>
          </cell>
          <cell r="AJ84" t="str">
            <v>0311</v>
          </cell>
          <cell r="AK84" t="str">
            <v>VP-72</v>
          </cell>
          <cell r="AM84">
            <v>1</v>
          </cell>
          <cell r="AN84">
            <v>24.5</v>
          </cell>
          <cell r="AO84">
            <v>28.8</v>
          </cell>
          <cell r="AQ84">
            <v>22.04</v>
          </cell>
          <cell r="AR84">
            <v>19.79</v>
          </cell>
          <cell r="AT84">
            <v>540</v>
          </cell>
          <cell r="AU84">
            <v>570</v>
          </cell>
        </row>
        <row r="85">
          <cell r="AH85" t="str">
            <v>WP</v>
          </cell>
          <cell r="AI85" t="str">
            <v>WASH PRIMER</v>
          </cell>
          <cell r="AJ85" t="str">
            <v>0345</v>
          </cell>
          <cell r="AK85" t="str">
            <v>908(SP-02)</v>
          </cell>
          <cell r="AL85" t="str">
            <v>11</v>
          </cell>
          <cell r="AM85">
            <v>1</v>
          </cell>
          <cell r="AN85">
            <v>55.83</v>
          </cell>
          <cell r="AO85">
            <v>37.1</v>
          </cell>
          <cell r="AP85">
            <v>78.3</v>
          </cell>
          <cell r="AQ85">
            <v>8.06</v>
          </cell>
          <cell r="AR85">
            <v>11.86</v>
          </cell>
          <cell r="AS85">
            <v>8.94</v>
          </cell>
          <cell r="AT85">
            <v>450</v>
          </cell>
          <cell r="AU85">
            <v>440</v>
          </cell>
          <cell r="AV85">
            <v>700</v>
          </cell>
        </row>
        <row r="86">
          <cell r="AH86" t="str">
            <v>VE</v>
          </cell>
          <cell r="AI86" t="str">
            <v>VINYL ENAMEL</v>
          </cell>
          <cell r="AJ86" t="str">
            <v>0351</v>
          </cell>
          <cell r="AK86" t="str">
            <v>SP32(VA-11)</v>
          </cell>
          <cell r="AM86">
            <v>1</v>
          </cell>
          <cell r="AN86">
            <v>29.1</v>
          </cell>
          <cell r="AO86">
            <v>26.21</v>
          </cell>
          <cell r="AQ86">
            <v>18.899999999999999</v>
          </cell>
          <cell r="AR86">
            <v>19.079999999999998</v>
          </cell>
          <cell r="AT86">
            <v>550</v>
          </cell>
          <cell r="AU86">
            <v>500</v>
          </cell>
        </row>
        <row r="87">
          <cell r="AI87" t="str">
            <v>PIGMENTED PVC VINYL FINISH</v>
          </cell>
          <cell r="AJ87" t="str">
            <v>4340(U-400)</v>
          </cell>
          <cell r="AK87" t="str">
            <v>SP34(VA-51)</v>
          </cell>
          <cell r="AM87">
            <v>1</v>
          </cell>
          <cell r="AN87">
            <v>21.2</v>
          </cell>
          <cell r="AO87">
            <v>27.3</v>
          </cell>
          <cell r="AQ87">
            <v>30.19</v>
          </cell>
          <cell r="AR87">
            <v>19.78</v>
          </cell>
          <cell r="AT87">
            <v>640</v>
          </cell>
          <cell r="AU87">
            <v>540</v>
          </cell>
        </row>
        <row r="89">
          <cell r="AI89" t="str">
            <v>POLYOL POLYISOCYANATE</v>
          </cell>
        </row>
        <row r="90">
          <cell r="AH90" t="str">
            <v>PCC</v>
          </cell>
          <cell r="AI90" t="str">
            <v>POLYURETHANE COATING CLEAR</v>
          </cell>
          <cell r="AJ90" t="str">
            <v>0550</v>
          </cell>
          <cell r="AK90" t="str">
            <v>722</v>
          </cell>
          <cell r="AL90" t="str">
            <v>67</v>
          </cell>
          <cell r="AM90">
            <v>1</v>
          </cell>
          <cell r="AN90">
            <v>27.8</v>
          </cell>
          <cell r="AO90">
            <v>29.8</v>
          </cell>
          <cell r="AP90">
            <v>81.790000000000006</v>
          </cell>
          <cell r="AQ90">
            <v>25.18</v>
          </cell>
          <cell r="AR90">
            <v>25.17</v>
          </cell>
          <cell r="AS90">
            <v>18.34</v>
          </cell>
          <cell r="AT90">
            <v>700</v>
          </cell>
          <cell r="AU90">
            <v>750</v>
          </cell>
          <cell r="AV90">
            <v>1500</v>
          </cell>
        </row>
        <row r="91">
          <cell r="AH91" t="str">
            <v>PF</v>
          </cell>
          <cell r="AI91" t="str">
            <v>POLYURETHANE COATING</v>
          </cell>
          <cell r="AJ91" t="str">
            <v>0551</v>
          </cell>
          <cell r="AK91" t="str">
            <v>725</v>
          </cell>
          <cell r="AL91" t="str">
            <v>66</v>
          </cell>
          <cell r="AM91">
            <v>1</v>
          </cell>
          <cell r="AN91">
            <v>33.1</v>
          </cell>
          <cell r="AO91">
            <v>21.52</v>
          </cell>
          <cell r="AP91">
            <v>92.79</v>
          </cell>
          <cell r="AQ91">
            <v>27.19</v>
          </cell>
          <cell r="AR91">
            <v>30.2</v>
          </cell>
          <cell r="AS91">
            <v>18.32</v>
          </cell>
          <cell r="AT91">
            <v>900</v>
          </cell>
          <cell r="AU91">
            <v>650</v>
          </cell>
          <cell r="AV91">
            <v>1700</v>
          </cell>
        </row>
        <row r="92">
          <cell r="AH92" t="str">
            <v>PFC</v>
          </cell>
          <cell r="AI92" t="str">
            <v>POLYURETHANE COATING</v>
          </cell>
          <cell r="AJ92" t="str">
            <v>0551</v>
          </cell>
          <cell r="AK92" t="str">
            <v>UP-04</v>
          </cell>
          <cell r="AL92" t="str">
            <v>66</v>
          </cell>
          <cell r="AM92">
            <v>1</v>
          </cell>
          <cell r="AN92">
            <v>36.78</v>
          </cell>
          <cell r="AO92">
            <v>16.059999999999999</v>
          </cell>
          <cell r="AP92">
            <v>92.79</v>
          </cell>
          <cell r="AQ92">
            <v>27.19</v>
          </cell>
          <cell r="AR92">
            <v>30.2</v>
          </cell>
          <cell r="AS92">
            <v>18.32</v>
          </cell>
          <cell r="AT92">
            <v>1000</v>
          </cell>
          <cell r="AU92">
            <v>485</v>
          </cell>
          <cell r="AV92">
            <v>1700</v>
          </cell>
        </row>
        <row r="93">
          <cell r="AH93" t="str">
            <v>AICP</v>
          </cell>
          <cell r="AI93" t="str">
            <v>ALIPHATIC ISCYANATE CURED POLYURETHANE FIN.</v>
          </cell>
          <cell r="AJ93" t="str">
            <v>4231(I-300)</v>
          </cell>
          <cell r="AK93" t="str">
            <v>728</v>
          </cell>
          <cell r="AM93">
            <v>1</v>
          </cell>
          <cell r="AN93">
            <v>46.3</v>
          </cell>
          <cell r="AO93">
            <v>56.2</v>
          </cell>
          <cell r="AQ93">
            <v>30.24</v>
          </cell>
          <cell r="AR93">
            <v>30.25</v>
          </cell>
          <cell r="AT93">
            <v>1400</v>
          </cell>
          <cell r="AU93">
            <v>1700</v>
          </cell>
        </row>
        <row r="94">
          <cell r="AI94" t="str">
            <v>POLYURETHANE TANK LINING</v>
          </cell>
          <cell r="AJ94" t="str">
            <v>4230(I-310)</v>
          </cell>
          <cell r="AK94" t="str">
            <v>733</v>
          </cell>
          <cell r="AM94">
            <v>1</v>
          </cell>
          <cell r="AN94">
            <v>37</v>
          </cell>
          <cell r="AO94">
            <v>19.8</v>
          </cell>
          <cell r="AQ94">
            <v>37.840000000000003</v>
          </cell>
          <cell r="AR94">
            <v>28.79</v>
          </cell>
          <cell r="AT94">
            <v>1400</v>
          </cell>
          <cell r="AU94">
            <v>570</v>
          </cell>
        </row>
        <row r="95">
          <cell r="AI95" t="str">
            <v>NON-REACTIVE POLYURETHANE PRIMER</v>
          </cell>
          <cell r="AJ95" t="str">
            <v>4239(I-350)</v>
          </cell>
          <cell r="AM95">
            <v>1</v>
          </cell>
          <cell r="AN95">
            <v>18</v>
          </cell>
          <cell r="AQ95">
            <v>55.56</v>
          </cell>
          <cell r="AT95">
            <v>1000</v>
          </cell>
        </row>
        <row r="96">
          <cell r="AI96" t="str">
            <v>CLEAR POLYURETHANE FINISH</v>
          </cell>
          <cell r="AJ96" t="str">
            <v>4235(I-390)</v>
          </cell>
          <cell r="AK96" t="str">
            <v>1101</v>
          </cell>
          <cell r="AM96">
            <v>1</v>
          </cell>
          <cell r="AN96">
            <v>31.7</v>
          </cell>
          <cell r="AO96">
            <v>17</v>
          </cell>
          <cell r="AQ96">
            <v>37.85</v>
          </cell>
          <cell r="AR96">
            <v>26.47</v>
          </cell>
          <cell r="AT96">
            <v>1200</v>
          </cell>
          <cell r="AU96">
            <v>450</v>
          </cell>
        </row>
        <row r="97">
          <cell r="AI97" t="str">
            <v>URETHANE CHROMATE PRIMER</v>
          </cell>
          <cell r="AJ97" t="str">
            <v>4420(A-200)</v>
          </cell>
          <cell r="AK97" t="str">
            <v>1106</v>
          </cell>
          <cell r="AM97">
            <v>1</v>
          </cell>
          <cell r="AN97">
            <v>21.6</v>
          </cell>
          <cell r="AO97">
            <v>12.5</v>
          </cell>
          <cell r="AQ97">
            <v>37.04</v>
          </cell>
          <cell r="AR97">
            <v>24</v>
          </cell>
          <cell r="AT97">
            <v>800</v>
          </cell>
          <cell r="AU97">
            <v>300</v>
          </cell>
        </row>
        <row r="98">
          <cell r="AI98" t="str">
            <v>ZINC TETROXYCHROMATE BUTYRAL ETCH PRIMER</v>
          </cell>
          <cell r="AJ98" t="str">
            <v>4322(U-220)</v>
          </cell>
          <cell r="AK98" t="str">
            <v>738</v>
          </cell>
          <cell r="AM98">
            <v>1</v>
          </cell>
          <cell r="AN98">
            <v>58.41</v>
          </cell>
          <cell r="AO98">
            <v>69.59</v>
          </cell>
          <cell r="AQ98">
            <v>8.56</v>
          </cell>
          <cell r="AR98">
            <v>28.74</v>
          </cell>
          <cell r="AT98">
            <v>500</v>
          </cell>
          <cell r="AU98">
            <v>2000</v>
          </cell>
        </row>
        <row r="100">
          <cell r="AI100" t="str">
            <v>MASONRY &amp; ACRYLIC PAINT</v>
          </cell>
        </row>
        <row r="101">
          <cell r="AI101" t="str">
            <v>SOLVENT BASE MASONRY PRIMER</v>
          </cell>
          <cell r="AJ101" t="str">
            <v>1541</v>
          </cell>
          <cell r="AL101" t="str">
            <v>140</v>
          </cell>
          <cell r="AM101">
            <v>1</v>
          </cell>
          <cell r="AN101">
            <v>9.6999999999999993</v>
          </cell>
          <cell r="AP101">
            <v>14</v>
          </cell>
          <cell r="AQ101">
            <v>40.21</v>
          </cell>
          <cell r="AS101">
            <v>30.36</v>
          </cell>
          <cell r="AT101">
            <v>390</v>
          </cell>
          <cell r="AV101">
            <v>425</v>
          </cell>
        </row>
        <row r="102">
          <cell r="AI102" t="str">
            <v>WATER BASE MASONRY PRIMER</v>
          </cell>
          <cell r="AJ102" t="str">
            <v>1546</v>
          </cell>
          <cell r="AL102" t="str">
            <v>140-1</v>
          </cell>
          <cell r="AM102">
            <v>1</v>
          </cell>
          <cell r="AN102">
            <v>8.1999999999999993</v>
          </cell>
          <cell r="AP102">
            <v>12</v>
          </cell>
          <cell r="AQ102">
            <v>40.24</v>
          </cell>
          <cell r="AS102">
            <v>33.83</v>
          </cell>
          <cell r="AT102">
            <v>330</v>
          </cell>
          <cell r="AV102">
            <v>406</v>
          </cell>
        </row>
        <row r="103">
          <cell r="AI103" t="str">
            <v>WATER BASE MASONRY PAINT</v>
          </cell>
          <cell r="AJ103" t="str">
            <v>1556</v>
          </cell>
          <cell r="AM103">
            <v>1</v>
          </cell>
          <cell r="AN103">
            <v>11.9</v>
          </cell>
          <cell r="AQ103">
            <v>36.97</v>
          </cell>
          <cell r="AT103">
            <v>440</v>
          </cell>
        </row>
        <row r="104">
          <cell r="AI104" t="str">
            <v>ACRYLIC EMULSION PAINT</v>
          </cell>
          <cell r="AJ104" t="str">
            <v>1656</v>
          </cell>
          <cell r="AM104">
            <v>1</v>
          </cell>
          <cell r="AN104">
            <v>9.4</v>
          </cell>
          <cell r="AP104">
            <v>25.8</v>
          </cell>
          <cell r="AQ104">
            <v>38.299999999999997</v>
          </cell>
          <cell r="AS104">
            <v>34.880000000000003</v>
          </cell>
          <cell r="AT104">
            <v>360</v>
          </cell>
          <cell r="AV104">
            <v>900</v>
          </cell>
        </row>
        <row r="105">
          <cell r="AI105" t="str">
            <v>EMULSION PAINT</v>
          </cell>
          <cell r="AJ105" t="str">
            <v>1657</v>
          </cell>
          <cell r="AL105" t="str">
            <v>130</v>
          </cell>
          <cell r="AM105">
            <v>1</v>
          </cell>
          <cell r="AN105">
            <v>6.4</v>
          </cell>
          <cell r="AP105">
            <v>5.8</v>
          </cell>
          <cell r="AQ105">
            <v>40.630000000000003</v>
          </cell>
          <cell r="AS105">
            <v>34.83</v>
          </cell>
          <cell r="AT105">
            <v>260</v>
          </cell>
          <cell r="AV105">
            <v>202</v>
          </cell>
        </row>
        <row r="107">
          <cell r="AI107" t="str">
            <v>OTHER PAINT</v>
          </cell>
        </row>
        <row r="108">
          <cell r="AH108" t="str">
            <v>AO</v>
          </cell>
          <cell r="AI108" t="str">
            <v>AMERLOCK-400 100,</v>
          </cell>
          <cell r="AM108">
            <v>1</v>
          </cell>
          <cell r="AO108">
            <v>35</v>
          </cell>
          <cell r="AR108">
            <v>21</v>
          </cell>
          <cell r="AU108">
            <v>735</v>
          </cell>
        </row>
        <row r="109">
          <cell r="AI109" t="str">
            <v>BLACK VARNISH</v>
          </cell>
          <cell r="AJ109" t="str">
            <v>1727</v>
          </cell>
          <cell r="AL109" t="str">
            <v>170</v>
          </cell>
          <cell r="AM109">
            <v>1</v>
          </cell>
          <cell r="AN109">
            <v>5.8</v>
          </cell>
          <cell r="AP109">
            <v>6.2</v>
          </cell>
          <cell r="AQ109">
            <v>34.479999999999997</v>
          </cell>
          <cell r="AS109">
            <v>26.94</v>
          </cell>
          <cell r="AT109">
            <v>200</v>
          </cell>
          <cell r="AV109">
            <v>167</v>
          </cell>
        </row>
        <row r="110">
          <cell r="AI110" t="str">
            <v>NEO WATER PROOF COATING</v>
          </cell>
          <cell r="AJ110" t="str">
            <v>1728</v>
          </cell>
          <cell r="AL110" t="str">
            <v>160</v>
          </cell>
          <cell r="AM110">
            <v>1</v>
          </cell>
          <cell r="AN110">
            <v>4.4000000000000004</v>
          </cell>
          <cell r="AP110">
            <v>6.7</v>
          </cell>
          <cell r="AQ110">
            <v>227.27</v>
          </cell>
          <cell r="AS110">
            <v>28.81</v>
          </cell>
          <cell r="AT110">
            <v>1000</v>
          </cell>
          <cell r="AV110">
            <v>193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-ESTI"/>
      <sheetName val="EFFICIENCY"/>
      <sheetName val="DS TỔNG"/>
      <sheetName val="CHART"/>
      <sheetName val="DS"/>
      <sheetName val="Sheet2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Sheet1"/>
      <sheetName val="group trùng"/>
    </sheetNames>
    <sheetDataSet>
      <sheetData sheetId="0">
        <row r="8">
          <cell r="B8" t="str">
            <v>5S</v>
          </cell>
          <cell r="C8">
            <v>0.5</v>
          </cell>
          <cell r="D8">
            <v>1.65</v>
          </cell>
          <cell r="E8">
            <v>1</v>
          </cell>
          <cell r="I8">
            <v>7.0000000000000007E-2</v>
          </cell>
          <cell r="J8">
            <v>0</v>
          </cell>
          <cell r="K8">
            <v>7.0000000000000007E-2</v>
          </cell>
          <cell r="P8">
            <v>2</v>
          </cell>
        </row>
        <row r="9">
          <cell r="B9" t="str">
            <v>5S</v>
          </cell>
          <cell r="C9">
            <v>0.5</v>
          </cell>
          <cell r="D9">
            <v>1.65</v>
          </cell>
          <cell r="E9">
            <v>1</v>
          </cell>
          <cell r="I9">
            <v>7.0000000000000007E-2</v>
          </cell>
          <cell r="J9">
            <v>0</v>
          </cell>
          <cell r="K9">
            <v>7.0000000000000007E-2</v>
          </cell>
          <cell r="P9">
            <v>2</v>
          </cell>
        </row>
        <row r="10">
          <cell r="B10" t="str">
            <v>5S</v>
          </cell>
          <cell r="C10">
            <v>0.5</v>
          </cell>
          <cell r="D10">
            <v>1.65</v>
          </cell>
          <cell r="E10">
            <v>1</v>
          </cell>
          <cell r="I10">
            <v>7.0000000000000007E-2</v>
          </cell>
          <cell r="J10">
            <v>0</v>
          </cell>
          <cell r="K10">
            <v>7.0000000000000007E-2</v>
          </cell>
          <cell r="P10">
            <v>2</v>
          </cell>
        </row>
        <row r="11">
          <cell r="B11" t="str">
            <v>5S</v>
          </cell>
          <cell r="C11">
            <v>0.75</v>
          </cell>
          <cell r="D11">
            <v>1.65</v>
          </cell>
          <cell r="E11">
            <v>1</v>
          </cell>
          <cell r="I11">
            <v>7.0000000000000007E-2</v>
          </cell>
          <cell r="J11">
            <v>0</v>
          </cell>
          <cell r="K11">
            <v>7.0000000000000007E-2</v>
          </cell>
          <cell r="P11">
            <v>2</v>
          </cell>
        </row>
        <row r="12">
          <cell r="B12" t="str">
            <v>5S</v>
          </cell>
          <cell r="C12">
            <v>0.75</v>
          </cell>
          <cell r="D12">
            <v>1.65</v>
          </cell>
          <cell r="E12">
            <v>1</v>
          </cell>
          <cell r="I12">
            <v>7.0000000000000007E-2</v>
          </cell>
          <cell r="J12">
            <v>0</v>
          </cell>
          <cell r="K12">
            <v>7.0000000000000007E-2</v>
          </cell>
          <cell r="P12">
            <v>2</v>
          </cell>
        </row>
        <row r="13">
          <cell r="B13" t="str">
            <v>5S</v>
          </cell>
          <cell r="C13">
            <v>0.75</v>
          </cell>
          <cell r="D13">
            <v>1.65</v>
          </cell>
          <cell r="E13">
            <v>1</v>
          </cell>
          <cell r="I13">
            <v>7.0000000000000007E-2</v>
          </cell>
          <cell r="J13">
            <v>0</v>
          </cell>
          <cell r="K13">
            <v>7.0000000000000007E-2</v>
          </cell>
          <cell r="P13">
            <v>2</v>
          </cell>
        </row>
        <row r="14">
          <cell r="B14" t="str">
            <v>5S</v>
          </cell>
          <cell r="C14">
            <v>1</v>
          </cell>
          <cell r="D14">
            <v>1.65</v>
          </cell>
          <cell r="E14">
            <v>1</v>
          </cell>
          <cell r="I14">
            <v>0.12</v>
          </cell>
          <cell r="J14">
            <v>0</v>
          </cell>
          <cell r="K14">
            <v>0.12</v>
          </cell>
          <cell r="P14">
            <v>2</v>
          </cell>
        </row>
        <row r="15">
          <cell r="B15" t="str">
            <v>5S</v>
          </cell>
          <cell r="C15">
            <v>1</v>
          </cell>
          <cell r="D15">
            <v>1.65</v>
          </cell>
          <cell r="E15">
            <v>1</v>
          </cell>
          <cell r="I15">
            <v>0.12</v>
          </cell>
          <cell r="J15">
            <v>0</v>
          </cell>
          <cell r="K15">
            <v>0.12</v>
          </cell>
          <cell r="P15">
            <v>2</v>
          </cell>
        </row>
        <row r="16">
          <cell r="B16" t="str">
            <v>5S</v>
          </cell>
          <cell r="C16">
            <v>1</v>
          </cell>
          <cell r="D16">
            <v>1.65</v>
          </cell>
          <cell r="E16">
            <v>1</v>
          </cell>
          <cell r="I16">
            <v>0.12</v>
          </cell>
          <cell r="J16">
            <v>0</v>
          </cell>
          <cell r="K16">
            <v>0.12</v>
          </cell>
          <cell r="P16">
            <v>2</v>
          </cell>
        </row>
        <row r="17">
          <cell r="B17" t="str">
            <v>5S</v>
          </cell>
          <cell r="C17">
            <v>1.25</v>
          </cell>
          <cell r="D17">
            <v>1.65</v>
          </cell>
          <cell r="E17">
            <v>1</v>
          </cell>
          <cell r="I17">
            <v>0.15</v>
          </cell>
          <cell r="K17">
            <v>0.15</v>
          </cell>
          <cell r="P17">
            <v>2</v>
          </cell>
        </row>
        <row r="18">
          <cell r="B18" t="str">
            <v>5S</v>
          </cell>
          <cell r="C18">
            <v>1.25</v>
          </cell>
          <cell r="D18">
            <v>1.65</v>
          </cell>
          <cell r="E18">
            <v>1</v>
          </cell>
          <cell r="I18">
            <v>0.15</v>
          </cell>
          <cell r="K18">
            <v>0.15</v>
          </cell>
          <cell r="P18">
            <v>2</v>
          </cell>
        </row>
        <row r="19">
          <cell r="B19" t="str">
            <v>5S</v>
          </cell>
          <cell r="C19">
            <v>1.25</v>
          </cell>
          <cell r="D19">
            <v>1.65</v>
          </cell>
          <cell r="E19">
            <v>1</v>
          </cell>
          <cell r="I19">
            <v>0.15</v>
          </cell>
          <cell r="K19">
            <v>0.15</v>
          </cell>
          <cell r="P19">
            <v>2</v>
          </cell>
        </row>
        <row r="20">
          <cell r="B20" t="str">
            <v>5S</v>
          </cell>
          <cell r="C20">
            <v>1.5</v>
          </cell>
          <cell r="D20">
            <v>1.65</v>
          </cell>
          <cell r="E20">
            <v>1</v>
          </cell>
          <cell r="I20">
            <v>0.15</v>
          </cell>
          <cell r="J20">
            <v>0</v>
          </cell>
          <cell r="K20">
            <v>0.15</v>
          </cell>
          <cell r="P20">
            <v>2</v>
          </cell>
        </row>
        <row r="21">
          <cell r="B21" t="str">
            <v>5S</v>
          </cell>
          <cell r="C21">
            <v>1.5</v>
          </cell>
          <cell r="D21">
            <v>1.65</v>
          </cell>
          <cell r="E21">
            <v>1</v>
          </cell>
          <cell r="I21">
            <v>0.15</v>
          </cell>
          <cell r="J21">
            <v>0</v>
          </cell>
          <cell r="K21">
            <v>0.15</v>
          </cell>
          <cell r="P21">
            <v>2</v>
          </cell>
        </row>
        <row r="22">
          <cell r="B22" t="str">
            <v>5S</v>
          </cell>
          <cell r="C22">
            <v>1.5</v>
          </cell>
          <cell r="D22">
            <v>1.65</v>
          </cell>
          <cell r="E22">
            <v>1</v>
          </cell>
          <cell r="I22">
            <v>0.15</v>
          </cell>
          <cell r="J22">
            <v>0</v>
          </cell>
          <cell r="K22">
            <v>0.15</v>
          </cell>
          <cell r="P22">
            <v>2</v>
          </cell>
        </row>
        <row r="23">
          <cell r="B23" t="str">
            <v>5S</v>
          </cell>
          <cell r="C23">
            <v>2</v>
          </cell>
          <cell r="D23">
            <v>1.65</v>
          </cell>
          <cell r="E23">
            <v>1</v>
          </cell>
          <cell r="I23">
            <v>0.15</v>
          </cell>
          <cell r="J23">
            <v>0</v>
          </cell>
          <cell r="K23">
            <v>0.15</v>
          </cell>
          <cell r="P23">
            <v>2</v>
          </cell>
        </row>
        <row r="24">
          <cell r="B24" t="str">
            <v>5S</v>
          </cell>
          <cell r="C24">
            <v>2</v>
          </cell>
          <cell r="D24">
            <v>1.65</v>
          </cell>
          <cell r="E24">
            <v>1</v>
          </cell>
          <cell r="I24">
            <v>0.15</v>
          </cell>
          <cell r="J24">
            <v>0</v>
          </cell>
          <cell r="K24">
            <v>0.15</v>
          </cell>
          <cell r="P24">
            <v>2</v>
          </cell>
        </row>
        <row r="25">
          <cell r="B25" t="str">
            <v>5S</v>
          </cell>
          <cell r="C25">
            <v>2</v>
          </cell>
          <cell r="D25">
            <v>1.65</v>
          </cell>
          <cell r="E25">
            <v>1</v>
          </cell>
          <cell r="I25">
            <v>0.15</v>
          </cell>
          <cell r="J25">
            <v>0</v>
          </cell>
          <cell r="K25">
            <v>0.15</v>
          </cell>
          <cell r="P25">
            <v>2</v>
          </cell>
        </row>
        <row r="26">
          <cell r="B26" t="str">
            <v>5S</v>
          </cell>
          <cell r="C26">
            <v>2.5</v>
          </cell>
          <cell r="D26">
            <v>2.11</v>
          </cell>
          <cell r="E26">
            <v>1</v>
          </cell>
          <cell r="I26">
            <v>0.15</v>
          </cell>
          <cell r="J26">
            <v>0</v>
          </cell>
          <cell r="K26">
            <v>0.15</v>
          </cell>
          <cell r="P26">
            <v>2</v>
          </cell>
        </row>
        <row r="27">
          <cell r="B27" t="str">
            <v>5S</v>
          </cell>
          <cell r="C27">
            <v>3</v>
          </cell>
          <cell r="D27">
            <v>2.11</v>
          </cell>
          <cell r="E27">
            <v>1</v>
          </cell>
          <cell r="I27">
            <v>0.3</v>
          </cell>
          <cell r="J27">
            <v>0</v>
          </cell>
          <cell r="K27">
            <v>0.3</v>
          </cell>
          <cell r="P27">
            <v>2</v>
          </cell>
        </row>
        <row r="28">
          <cell r="B28" t="str">
            <v>5S</v>
          </cell>
          <cell r="C28">
            <v>3.5</v>
          </cell>
          <cell r="D28">
            <v>2.11</v>
          </cell>
          <cell r="E28">
            <v>1</v>
          </cell>
          <cell r="I28">
            <v>0.3</v>
          </cell>
          <cell r="K28">
            <v>0.3</v>
          </cell>
          <cell r="P28">
            <v>3</v>
          </cell>
        </row>
        <row r="29">
          <cell r="B29" t="str">
            <v>5S</v>
          </cell>
          <cell r="C29">
            <v>4</v>
          </cell>
          <cell r="D29">
            <v>2.11</v>
          </cell>
          <cell r="E29">
            <v>1</v>
          </cell>
          <cell r="I29">
            <v>0.3</v>
          </cell>
          <cell r="J29">
            <v>0</v>
          </cell>
          <cell r="K29">
            <v>0.3</v>
          </cell>
          <cell r="P29">
            <v>3</v>
          </cell>
        </row>
        <row r="30">
          <cell r="B30" t="str">
            <v>5S</v>
          </cell>
          <cell r="C30">
            <v>5</v>
          </cell>
          <cell r="D30">
            <v>2.77</v>
          </cell>
          <cell r="E30">
            <v>1</v>
          </cell>
          <cell r="I30">
            <v>0.3</v>
          </cell>
          <cell r="K30">
            <v>0.3</v>
          </cell>
          <cell r="P30">
            <v>4</v>
          </cell>
        </row>
        <row r="31">
          <cell r="B31" t="str">
            <v>5S</v>
          </cell>
          <cell r="C31">
            <v>6</v>
          </cell>
          <cell r="D31">
            <v>2.77</v>
          </cell>
          <cell r="E31">
            <v>1</v>
          </cell>
          <cell r="I31">
            <v>0.45</v>
          </cell>
          <cell r="J31">
            <v>0</v>
          </cell>
          <cell r="K31">
            <v>0.45</v>
          </cell>
          <cell r="P31">
            <v>4</v>
          </cell>
        </row>
        <row r="32">
          <cell r="B32" t="str">
            <v>5S</v>
          </cell>
          <cell r="C32">
            <v>8</v>
          </cell>
          <cell r="D32">
            <v>2.77</v>
          </cell>
          <cell r="E32">
            <v>1</v>
          </cell>
          <cell r="I32">
            <v>0.45</v>
          </cell>
          <cell r="J32">
            <v>0</v>
          </cell>
          <cell r="K32">
            <v>0.45</v>
          </cell>
          <cell r="P32">
            <v>4</v>
          </cell>
        </row>
        <row r="33">
          <cell r="B33" t="str">
            <v>5S</v>
          </cell>
          <cell r="C33">
            <v>10</v>
          </cell>
          <cell r="D33">
            <v>3.4</v>
          </cell>
          <cell r="E33">
            <v>1</v>
          </cell>
          <cell r="I33">
            <v>0.9</v>
          </cell>
          <cell r="J33">
            <v>0</v>
          </cell>
          <cell r="K33">
            <v>0.9</v>
          </cell>
          <cell r="P33">
            <v>4</v>
          </cell>
        </row>
        <row r="34">
          <cell r="B34" t="str">
            <v>5S</v>
          </cell>
          <cell r="C34">
            <v>12</v>
          </cell>
          <cell r="D34">
            <v>3.96</v>
          </cell>
          <cell r="E34">
            <v>1</v>
          </cell>
          <cell r="I34">
            <v>1.2</v>
          </cell>
          <cell r="J34">
            <v>0</v>
          </cell>
          <cell r="K34">
            <v>1.2</v>
          </cell>
          <cell r="P34">
            <v>6</v>
          </cell>
        </row>
        <row r="35">
          <cell r="B35" t="str">
            <v>5S</v>
          </cell>
          <cell r="C35">
            <v>14</v>
          </cell>
          <cell r="D35">
            <v>3.96</v>
          </cell>
          <cell r="E35">
            <v>1</v>
          </cell>
          <cell r="I35">
            <v>1.34</v>
          </cell>
          <cell r="J35">
            <v>0</v>
          </cell>
          <cell r="K35">
            <v>1.34</v>
          </cell>
          <cell r="P35">
            <v>6</v>
          </cell>
        </row>
        <row r="36">
          <cell r="B36" t="str">
            <v>5S</v>
          </cell>
          <cell r="C36">
            <v>16</v>
          </cell>
          <cell r="D36">
            <v>4.1900000000000004</v>
          </cell>
          <cell r="E36">
            <v>1</v>
          </cell>
          <cell r="I36">
            <v>1.65</v>
          </cell>
          <cell r="J36">
            <v>0</v>
          </cell>
          <cell r="K36">
            <v>1.65</v>
          </cell>
          <cell r="P36">
            <v>6</v>
          </cell>
        </row>
        <row r="37">
          <cell r="B37" t="str">
            <v>5S</v>
          </cell>
          <cell r="C37">
            <v>18</v>
          </cell>
          <cell r="D37">
            <v>4.1900000000000004</v>
          </cell>
          <cell r="E37">
            <v>1</v>
          </cell>
          <cell r="I37">
            <v>1.8</v>
          </cell>
          <cell r="J37">
            <v>0</v>
          </cell>
          <cell r="K37">
            <v>1.8</v>
          </cell>
          <cell r="P37">
            <v>6</v>
          </cell>
        </row>
        <row r="38">
          <cell r="B38" t="str">
            <v>5S</v>
          </cell>
          <cell r="C38">
            <v>20</v>
          </cell>
          <cell r="D38">
            <v>4.78</v>
          </cell>
          <cell r="E38">
            <v>1</v>
          </cell>
          <cell r="I38">
            <v>2.54</v>
          </cell>
          <cell r="J38">
            <v>0</v>
          </cell>
          <cell r="K38">
            <v>2.54</v>
          </cell>
          <cell r="P38">
            <v>7</v>
          </cell>
        </row>
        <row r="39">
          <cell r="B39" t="str">
            <v>5S</v>
          </cell>
          <cell r="C39">
            <v>22</v>
          </cell>
          <cell r="D39">
            <v>4.78</v>
          </cell>
          <cell r="E39">
            <v>1</v>
          </cell>
          <cell r="I39">
            <v>2.69</v>
          </cell>
          <cell r="J39">
            <v>0</v>
          </cell>
          <cell r="K39">
            <v>2.69</v>
          </cell>
          <cell r="P39">
            <v>8</v>
          </cell>
        </row>
        <row r="40">
          <cell r="B40" t="str">
            <v>5S</v>
          </cell>
          <cell r="C40">
            <v>24</v>
          </cell>
          <cell r="D40">
            <v>5.54</v>
          </cell>
          <cell r="E40">
            <v>1</v>
          </cell>
          <cell r="I40">
            <v>2.4300000000000002</v>
          </cell>
          <cell r="J40">
            <v>1.47</v>
          </cell>
          <cell r="K40">
            <v>3.9</v>
          </cell>
          <cell r="P40">
            <v>8</v>
          </cell>
        </row>
        <row r="41">
          <cell r="B41" t="str">
            <v>5S</v>
          </cell>
          <cell r="C41">
            <v>30</v>
          </cell>
          <cell r="D41">
            <v>6.35</v>
          </cell>
          <cell r="E41">
            <v>1</v>
          </cell>
          <cell r="I41">
            <v>3.04</v>
          </cell>
          <cell r="J41">
            <v>3.11</v>
          </cell>
          <cell r="K41">
            <v>6.15</v>
          </cell>
          <cell r="P41">
            <v>10</v>
          </cell>
        </row>
        <row r="42">
          <cell r="B42">
            <v>10</v>
          </cell>
          <cell r="C42">
            <v>14</v>
          </cell>
          <cell r="D42">
            <v>6.35</v>
          </cell>
          <cell r="E42">
            <v>1</v>
          </cell>
          <cell r="I42">
            <v>1.42</v>
          </cell>
          <cell r="J42">
            <v>1.27</v>
          </cell>
          <cell r="K42">
            <v>2.69</v>
          </cell>
          <cell r="P42">
            <v>6</v>
          </cell>
        </row>
        <row r="43">
          <cell r="B43">
            <v>10</v>
          </cell>
          <cell r="C43">
            <v>16</v>
          </cell>
          <cell r="D43">
            <v>6.35</v>
          </cell>
          <cell r="E43">
            <v>1</v>
          </cell>
          <cell r="I43">
            <v>1.62</v>
          </cell>
          <cell r="J43">
            <v>1.38</v>
          </cell>
          <cell r="K43">
            <v>3</v>
          </cell>
          <cell r="P43">
            <v>6</v>
          </cell>
        </row>
        <row r="44">
          <cell r="B44">
            <v>10</v>
          </cell>
          <cell r="C44">
            <v>18</v>
          </cell>
          <cell r="D44">
            <v>6.35</v>
          </cell>
          <cell r="E44">
            <v>1</v>
          </cell>
          <cell r="I44">
            <v>1.82</v>
          </cell>
          <cell r="J44">
            <v>1.48</v>
          </cell>
          <cell r="K44">
            <v>3.3</v>
          </cell>
          <cell r="P44">
            <v>6</v>
          </cell>
        </row>
        <row r="45">
          <cell r="B45">
            <v>10</v>
          </cell>
          <cell r="C45">
            <v>20</v>
          </cell>
          <cell r="D45">
            <v>6.35</v>
          </cell>
          <cell r="E45">
            <v>1</v>
          </cell>
          <cell r="I45">
            <v>2.0299999999999998</v>
          </cell>
          <cell r="J45">
            <v>1.72</v>
          </cell>
          <cell r="K45">
            <v>3.75</v>
          </cell>
          <cell r="P45">
            <v>7</v>
          </cell>
        </row>
        <row r="46">
          <cell r="B46">
            <v>10</v>
          </cell>
          <cell r="C46">
            <v>22</v>
          </cell>
          <cell r="D46">
            <v>6.35</v>
          </cell>
          <cell r="E46">
            <v>1</v>
          </cell>
          <cell r="I46">
            <v>2.23</v>
          </cell>
          <cell r="J46">
            <v>2.27</v>
          </cell>
          <cell r="K46">
            <v>4.5</v>
          </cell>
          <cell r="P46">
            <v>8</v>
          </cell>
        </row>
        <row r="47">
          <cell r="B47">
            <v>10</v>
          </cell>
          <cell r="C47">
            <v>24</v>
          </cell>
          <cell r="D47">
            <v>6.35</v>
          </cell>
          <cell r="E47">
            <v>1</v>
          </cell>
          <cell r="I47">
            <v>2.4300000000000002</v>
          </cell>
          <cell r="J47">
            <v>2.0699999999999998</v>
          </cell>
          <cell r="K47">
            <v>4.5</v>
          </cell>
          <cell r="P47">
            <v>8</v>
          </cell>
        </row>
        <row r="48">
          <cell r="B48">
            <v>10</v>
          </cell>
          <cell r="C48">
            <v>26</v>
          </cell>
          <cell r="D48">
            <v>7.92</v>
          </cell>
          <cell r="E48">
            <v>1</v>
          </cell>
          <cell r="I48">
            <v>2.64</v>
          </cell>
          <cell r="J48">
            <v>4.8600000000000003</v>
          </cell>
          <cell r="K48">
            <v>7.5</v>
          </cell>
          <cell r="P48">
            <v>9</v>
          </cell>
        </row>
        <row r="49">
          <cell r="B49">
            <v>10</v>
          </cell>
          <cell r="C49">
            <v>28</v>
          </cell>
          <cell r="D49">
            <v>7.92</v>
          </cell>
          <cell r="E49">
            <v>1</v>
          </cell>
          <cell r="I49">
            <v>2.84</v>
          </cell>
          <cell r="J49">
            <v>5.26</v>
          </cell>
          <cell r="K49">
            <v>8.1</v>
          </cell>
          <cell r="P49">
            <v>9</v>
          </cell>
        </row>
        <row r="50">
          <cell r="B50">
            <v>10</v>
          </cell>
          <cell r="C50">
            <v>30</v>
          </cell>
          <cell r="D50">
            <v>7.92</v>
          </cell>
          <cell r="E50">
            <v>1</v>
          </cell>
          <cell r="I50">
            <v>3.04</v>
          </cell>
          <cell r="J50">
            <v>5.66</v>
          </cell>
          <cell r="K50">
            <v>8.6999999999999993</v>
          </cell>
          <cell r="P50">
            <v>10</v>
          </cell>
        </row>
        <row r="51">
          <cell r="B51">
            <v>10</v>
          </cell>
          <cell r="C51">
            <v>32</v>
          </cell>
          <cell r="D51">
            <v>7.92</v>
          </cell>
          <cell r="E51">
            <v>1</v>
          </cell>
          <cell r="I51">
            <v>3.24</v>
          </cell>
          <cell r="J51">
            <v>6.06</v>
          </cell>
          <cell r="K51">
            <v>9.3000000000000007</v>
          </cell>
          <cell r="P51">
            <v>11</v>
          </cell>
        </row>
        <row r="52">
          <cell r="B52">
            <v>10</v>
          </cell>
          <cell r="C52">
            <v>34</v>
          </cell>
          <cell r="D52">
            <v>7.92</v>
          </cell>
          <cell r="E52">
            <v>1</v>
          </cell>
          <cell r="I52">
            <v>3.45</v>
          </cell>
          <cell r="J52">
            <v>6.44</v>
          </cell>
          <cell r="K52">
            <v>9.89</v>
          </cell>
          <cell r="P52">
            <v>12</v>
          </cell>
        </row>
        <row r="53">
          <cell r="B53">
            <v>10</v>
          </cell>
          <cell r="C53">
            <v>36</v>
          </cell>
          <cell r="D53">
            <v>7.92</v>
          </cell>
          <cell r="E53">
            <v>1</v>
          </cell>
          <cell r="I53">
            <v>3.65</v>
          </cell>
          <cell r="J53">
            <v>6.84</v>
          </cell>
          <cell r="K53">
            <v>10.49</v>
          </cell>
          <cell r="P53">
            <v>12</v>
          </cell>
        </row>
        <row r="54">
          <cell r="B54" t="str">
            <v>10S</v>
          </cell>
          <cell r="C54">
            <v>0.125</v>
          </cell>
          <cell r="D54">
            <v>1.24</v>
          </cell>
          <cell r="E54">
            <v>1</v>
          </cell>
          <cell r="I54">
            <v>7.0000000000000007E-2</v>
          </cell>
          <cell r="K54">
            <v>7.0000000000000007E-2</v>
          </cell>
          <cell r="P54">
            <v>2</v>
          </cell>
        </row>
        <row r="55">
          <cell r="B55" t="str">
            <v>10S</v>
          </cell>
          <cell r="C55">
            <v>0.125</v>
          </cell>
          <cell r="D55">
            <v>1.24</v>
          </cell>
          <cell r="E55">
            <v>1</v>
          </cell>
          <cell r="I55">
            <v>7.0000000000000007E-2</v>
          </cell>
          <cell r="K55">
            <v>7.0000000000000007E-2</v>
          </cell>
          <cell r="P55">
            <v>2</v>
          </cell>
        </row>
        <row r="56">
          <cell r="B56" t="str">
            <v>10S</v>
          </cell>
          <cell r="C56">
            <v>0.125</v>
          </cell>
          <cell r="D56">
            <v>1.24</v>
          </cell>
          <cell r="E56">
            <v>1</v>
          </cell>
          <cell r="I56">
            <v>7.0000000000000007E-2</v>
          </cell>
          <cell r="K56">
            <v>7.0000000000000007E-2</v>
          </cell>
          <cell r="P56">
            <v>2</v>
          </cell>
        </row>
        <row r="57">
          <cell r="B57" t="str">
            <v>10S</v>
          </cell>
          <cell r="C57">
            <v>0.25</v>
          </cell>
          <cell r="D57">
            <v>1.65</v>
          </cell>
          <cell r="E57">
            <v>1</v>
          </cell>
          <cell r="I57">
            <v>7.0000000000000007E-2</v>
          </cell>
          <cell r="K57">
            <v>7.0000000000000007E-2</v>
          </cell>
          <cell r="P57">
            <v>2</v>
          </cell>
        </row>
        <row r="58">
          <cell r="B58" t="str">
            <v>10S</v>
          </cell>
          <cell r="C58">
            <v>0.25</v>
          </cell>
          <cell r="D58">
            <v>1.65</v>
          </cell>
          <cell r="E58">
            <v>1</v>
          </cell>
          <cell r="I58">
            <v>7.0000000000000007E-2</v>
          </cell>
          <cell r="K58">
            <v>7.0000000000000007E-2</v>
          </cell>
          <cell r="P58">
            <v>2</v>
          </cell>
        </row>
        <row r="59">
          <cell r="B59" t="str">
            <v>10S</v>
          </cell>
          <cell r="C59">
            <v>0.25</v>
          </cell>
          <cell r="D59">
            <v>1.65</v>
          </cell>
          <cell r="E59">
            <v>1</v>
          </cell>
          <cell r="I59">
            <v>7.0000000000000007E-2</v>
          </cell>
          <cell r="K59">
            <v>7.0000000000000007E-2</v>
          </cell>
          <cell r="P59">
            <v>2</v>
          </cell>
        </row>
        <row r="60">
          <cell r="B60" t="str">
            <v>10S</v>
          </cell>
          <cell r="C60">
            <v>0.375</v>
          </cell>
          <cell r="D60">
            <v>1.65</v>
          </cell>
          <cell r="E60">
            <v>1</v>
          </cell>
          <cell r="I60">
            <v>7.0000000000000007E-2</v>
          </cell>
          <cell r="J60">
            <v>0</v>
          </cell>
          <cell r="K60">
            <v>7.0000000000000007E-2</v>
          </cell>
          <cell r="P60">
            <v>2</v>
          </cell>
        </row>
        <row r="61">
          <cell r="B61" t="str">
            <v>10S</v>
          </cell>
          <cell r="C61">
            <v>0.375</v>
          </cell>
          <cell r="D61">
            <v>1.65</v>
          </cell>
          <cell r="E61">
            <v>1</v>
          </cell>
          <cell r="I61">
            <v>7.0000000000000007E-2</v>
          </cell>
          <cell r="J61">
            <v>0</v>
          </cell>
          <cell r="K61">
            <v>7.0000000000000007E-2</v>
          </cell>
          <cell r="P61">
            <v>2</v>
          </cell>
        </row>
        <row r="62">
          <cell r="B62" t="str">
            <v>10S</v>
          </cell>
          <cell r="C62">
            <v>0.375</v>
          </cell>
          <cell r="D62">
            <v>1.65</v>
          </cell>
          <cell r="E62">
            <v>1</v>
          </cell>
          <cell r="I62">
            <v>7.0000000000000007E-2</v>
          </cell>
          <cell r="J62">
            <v>0</v>
          </cell>
          <cell r="K62">
            <v>7.0000000000000007E-2</v>
          </cell>
          <cell r="P62">
            <v>2</v>
          </cell>
        </row>
        <row r="63">
          <cell r="B63" t="str">
            <v>10S</v>
          </cell>
          <cell r="C63">
            <v>0.5</v>
          </cell>
          <cell r="D63">
            <v>2.11</v>
          </cell>
          <cell r="E63">
            <v>1</v>
          </cell>
          <cell r="I63">
            <v>7.0000000000000007E-2</v>
          </cell>
          <cell r="J63">
            <v>0</v>
          </cell>
          <cell r="K63">
            <v>7.0000000000000007E-2</v>
          </cell>
          <cell r="P63">
            <v>2</v>
          </cell>
        </row>
        <row r="64">
          <cell r="B64" t="str">
            <v>10S</v>
          </cell>
          <cell r="C64">
            <v>0.5</v>
          </cell>
          <cell r="D64">
            <v>2.11</v>
          </cell>
          <cell r="E64">
            <v>1</v>
          </cell>
          <cell r="I64">
            <v>7.0000000000000007E-2</v>
          </cell>
          <cell r="J64">
            <v>0</v>
          </cell>
          <cell r="K64">
            <v>7.0000000000000007E-2</v>
          </cell>
          <cell r="P64">
            <v>2</v>
          </cell>
        </row>
        <row r="65">
          <cell r="B65" t="str">
            <v>10S</v>
          </cell>
          <cell r="C65">
            <v>0.5</v>
          </cell>
          <cell r="D65">
            <v>2.11</v>
          </cell>
          <cell r="E65">
            <v>1</v>
          </cell>
          <cell r="I65">
            <v>7.0000000000000007E-2</v>
          </cell>
          <cell r="J65">
            <v>0</v>
          </cell>
          <cell r="K65">
            <v>7.0000000000000007E-2</v>
          </cell>
          <cell r="P65">
            <v>2</v>
          </cell>
        </row>
        <row r="66">
          <cell r="B66" t="str">
            <v>10S</v>
          </cell>
          <cell r="C66">
            <v>0.75</v>
          </cell>
          <cell r="D66">
            <v>2.11</v>
          </cell>
          <cell r="E66">
            <v>1</v>
          </cell>
          <cell r="I66">
            <v>7.0000000000000007E-2</v>
          </cell>
          <cell r="J66">
            <v>0</v>
          </cell>
          <cell r="K66">
            <v>7.0000000000000007E-2</v>
          </cell>
          <cell r="P66">
            <v>2</v>
          </cell>
        </row>
        <row r="67">
          <cell r="B67" t="str">
            <v>10S</v>
          </cell>
          <cell r="C67">
            <v>0.75</v>
          </cell>
          <cell r="D67">
            <v>2.11</v>
          </cell>
          <cell r="E67">
            <v>1</v>
          </cell>
          <cell r="I67">
            <v>7.0000000000000007E-2</v>
          </cell>
          <cell r="J67">
            <v>0</v>
          </cell>
          <cell r="K67">
            <v>7.0000000000000007E-2</v>
          </cell>
          <cell r="P67">
            <v>2</v>
          </cell>
        </row>
        <row r="68">
          <cell r="B68" t="str">
            <v>10S</v>
          </cell>
          <cell r="C68">
            <v>0.75</v>
          </cell>
          <cell r="D68">
            <v>2.11</v>
          </cell>
          <cell r="E68">
            <v>1</v>
          </cell>
          <cell r="I68">
            <v>7.0000000000000007E-2</v>
          </cell>
          <cell r="J68">
            <v>0</v>
          </cell>
          <cell r="K68">
            <v>7.0000000000000007E-2</v>
          </cell>
          <cell r="P68">
            <v>2</v>
          </cell>
        </row>
        <row r="69">
          <cell r="B69" t="str">
            <v>10S</v>
          </cell>
          <cell r="C69">
            <v>1</v>
          </cell>
          <cell r="D69">
            <v>2.77</v>
          </cell>
          <cell r="E69">
            <v>1</v>
          </cell>
          <cell r="I69">
            <v>0.12</v>
          </cell>
          <cell r="J69">
            <v>0</v>
          </cell>
          <cell r="K69">
            <v>0.12</v>
          </cell>
          <cell r="P69">
            <v>2</v>
          </cell>
        </row>
        <row r="70">
          <cell r="B70" t="str">
            <v>10S</v>
          </cell>
          <cell r="C70">
            <v>1</v>
          </cell>
          <cell r="D70">
            <v>2.77</v>
          </cell>
          <cell r="E70">
            <v>1</v>
          </cell>
          <cell r="I70">
            <v>0.12</v>
          </cell>
          <cell r="J70">
            <v>0</v>
          </cell>
          <cell r="K70">
            <v>0.12</v>
          </cell>
          <cell r="P70">
            <v>2</v>
          </cell>
        </row>
        <row r="71">
          <cell r="B71" t="str">
            <v>10S</v>
          </cell>
          <cell r="C71">
            <v>1</v>
          </cell>
          <cell r="D71">
            <v>2.77</v>
          </cell>
          <cell r="E71">
            <v>1</v>
          </cell>
          <cell r="I71">
            <v>0.12</v>
          </cell>
          <cell r="J71">
            <v>0</v>
          </cell>
          <cell r="K71">
            <v>0.12</v>
          </cell>
          <cell r="P71">
            <v>2</v>
          </cell>
        </row>
        <row r="72">
          <cell r="B72" t="str">
            <v>10S</v>
          </cell>
          <cell r="C72">
            <v>1.25</v>
          </cell>
          <cell r="D72">
            <v>2.77</v>
          </cell>
          <cell r="E72">
            <v>1</v>
          </cell>
          <cell r="I72">
            <v>0.15</v>
          </cell>
          <cell r="K72">
            <v>0.15</v>
          </cell>
          <cell r="P72">
            <v>2</v>
          </cell>
        </row>
        <row r="73">
          <cell r="B73" t="str">
            <v>10S</v>
          </cell>
          <cell r="C73">
            <v>1.25</v>
          </cell>
          <cell r="D73">
            <v>2.77</v>
          </cell>
          <cell r="E73">
            <v>1</v>
          </cell>
          <cell r="I73">
            <v>0.15</v>
          </cell>
          <cell r="K73">
            <v>0.15</v>
          </cell>
          <cell r="P73">
            <v>2</v>
          </cell>
        </row>
        <row r="74">
          <cell r="B74" t="str">
            <v>10S</v>
          </cell>
          <cell r="C74">
            <v>1.25</v>
          </cell>
          <cell r="D74">
            <v>2.77</v>
          </cell>
          <cell r="E74">
            <v>1</v>
          </cell>
          <cell r="I74">
            <v>0.15</v>
          </cell>
          <cell r="K74">
            <v>0.15</v>
          </cell>
          <cell r="P74">
            <v>2</v>
          </cell>
        </row>
        <row r="75">
          <cell r="B75" t="str">
            <v>10S</v>
          </cell>
          <cell r="C75">
            <v>1.5</v>
          </cell>
          <cell r="D75">
            <v>2.77</v>
          </cell>
          <cell r="E75">
            <v>1</v>
          </cell>
          <cell r="I75">
            <v>0.15</v>
          </cell>
          <cell r="J75">
            <v>0</v>
          </cell>
          <cell r="K75">
            <v>0.15</v>
          </cell>
          <cell r="P75">
            <v>2</v>
          </cell>
        </row>
        <row r="76">
          <cell r="B76" t="str">
            <v>10S</v>
          </cell>
          <cell r="C76">
            <v>1.5</v>
          </cell>
          <cell r="D76">
            <v>2.77</v>
          </cell>
          <cell r="E76">
            <v>1</v>
          </cell>
          <cell r="I76">
            <v>0.15</v>
          </cell>
          <cell r="J76">
            <v>0</v>
          </cell>
          <cell r="K76">
            <v>0.15</v>
          </cell>
          <cell r="P76">
            <v>2</v>
          </cell>
        </row>
        <row r="77">
          <cell r="B77" t="str">
            <v>10S</v>
          </cell>
          <cell r="C77">
            <v>1.5</v>
          </cell>
          <cell r="D77">
            <v>2.77</v>
          </cell>
          <cell r="E77">
            <v>1</v>
          </cell>
          <cell r="I77">
            <v>0.15</v>
          </cell>
          <cell r="J77">
            <v>0</v>
          </cell>
          <cell r="K77">
            <v>0.15</v>
          </cell>
          <cell r="P77">
            <v>2</v>
          </cell>
        </row>
        <row r="78">
          <cell r="B78" t="str">
            <v>10S</v>
          </cell>
          <cell r="C78">
            <v>2</v>
          </cell>
          <cell r="D78">
            <v>2.77</v>
          </cell>
          <cell r="E78">
            <v>1</v>
          </cell>
          <cell r="I78">
            <v>0.15</v>
          </cell>
          <cell r="J78">
            <v>0</v>
          </cell>
          <cell r="K78">
            <v>0.15</v>
          </cell>
          <cell r="P78">
            <v>2</v>
          </cell>
        </row>
        <row r="79">
          <cell r="B79" t="str">
            <v>10S</v>
          </cell>
          <cell r="C79">
            <v>2</v>
          </cell>
          <cell r="D79">
            <v>2.77</v>
          </cell>
          <cell r="E79">
            <v>1</v>
          </cell>
          <cell r="I79">
            <v>0.15</v>
          </cell>
          <cell r="J79">
            <v>0</v>
          </cell>
          <cell r="K79">
            <v>0.15</v>
          </cell>
          <cell r="P79">
            <v>2</v>
          </cell>
        </row>
        <row r="80">
          <cell r="B80" t="str">
            <v>10S</v>
          </cell>
          <cell r="C80">
            <v>2</v>
          </cell>
          <cell r="D80">
            <v>2.77</v>
          </cell>
          <cell r="E80">
            <v>1</v>
          </cell>
          <cell r="I80">
            <v>0.15</v>
          </cell>
          <cell r="J80">
            <v>0</v>
          </cell>
          <cell r="K80">
            <v>0.15</v>
          </cell>
          <cell r="P80">
            <v>2</v>
          </cell>
        </row>
        <row r="81">
          <cell r="B81" t="str">
            <v>10S</v>
          </cell>
          <cell r="C81">
            <v>2.5</v>
          </cell>
          <cell r="D81">
            <v>3.05</v>
          </cell>
          <cell r="E81">
            <v>1</v>
          </cell>
          <cell r="I81">
            <v>0.15</v>
          </cell>
          <cell r="J81">
            <v>0</v>
          </cell>
          <cell r="K81">
            <v>0.15</v>
          </cell>
          <cell r="P81">
            <v>2</v>
          </cell>
        </row>
        <row r="82">
          <cell r="B82" t="str">
            <v>10S</v>
          </cell>
          <cell r="C82">
            <v>3</v>
          </cell>
          <cell r="D82">
            <v>3.05</v>
          </cell>
          <cell r="E82">
            <v>1</v>
          </cell>
          <cell r="I82">
            <v>0.3</v>
          </cell>
          <cell r="J82">
            <v>0</v>
          </cell>
          <cell r="K82">
            <v>0.3</v>
          </cell>
          <cell r="P82">
            <v>2</v>
          </cell>
        </row>
        <row r="83">
          <cell r="B83" t="str">
            <v>10S</v>
          </cell>
          <cell r="C83">
            <v>3.5</v>
          </cell>
          <cell r="D83">
            <v>3.05</v>
          </cell>
          <cell r="E83">
            <v>1</v>
          </cell>
          <cell r="I83">
            <v>0.3</v>
          </cell>
          <cell r="K83">
            <v>0.3</v>
          </cell>
          <cell r="P83">
            <v>3</v>
          </cell>
        </row>
        <row r="84">
          <cell r="B84" t="str">
            <v>10S</v>
          </cell>
          <cell r="C84">
            <v>4</v>
          </cell>
          <cell r="D84">
            <v>3.05</v>
          </cell>
          <cell r="E84">
            <v>1</v>
          </cell>
          <cell r="I84">
            <v>0.45</v>
          </cell>
          <cell r="J84">
            <v>0</v>
          </cell>
          <cell r="K84">
            <v>0.45</v>
          </cell>
          <cell r="P84">
            <v>3</v>
          </cell>
        </row>
        <row r="85">
          <cell r="B85" t="str">
            <v>10S</v>
          </cell>
          <cell r="C85">
            <v>5</v>
          </cell>
          <cell r="D85">
            <v>3.4</v>
          </cell>
          <cell r="E85">
            <v>1</v>
          </cell>
          <cell r="I85">
            <v>0.45</v>
          </cell>
          <cell r="K85">
            <v>0.45</v>
          </cell>
          <cell r="P85">
            <v>4</v>
          </cell>
        </row>
        <row r="86">
          <cell r="B86" t="str">
            <v>10S</v>
          </cell>
          <cell r="C86">
            <v>6</v>
          </cell>
          <cell r="D86">
            <v>3.4</v>
          </cell>
          <cell r="E86">
            <v>1</v>
          </cell>
          <cell r="I86">
            <v>0.6</v>
          </cell>
          <cell r="J86">
            <v>0</v>
          </cell>
          <cell r="K86">
            <v>0.6</v>
          </cell>
          <cell r="P86">
            <v>4</v>
          </cell>
        </row>
        <row r="87">
          <cell r="B87" t="str">
            <v>10S</v>
          </cell>
          <cell r="C87">
            <v>8</v>
          </cell>
          <cell r="D87">
            <v>3.76</v>
          </cell>
          <cell r="E87">
            <v>1</v>
          </cell>
          <cell r="I87">
            <v>0.6</v>
          </cell>
          <cell r="J87">
            <v>0</v>
          </cell>
          <cell r="K87">
            <v>0.6</v>
          </cell>
          <cell r="P87">
            <v>4</v>
          </cell>
        </row>
        <row r="88">
          <cell r="B88" t="str">
            <v>10S</v>
          </cell>
          <cell r="C88">
            <v>10</v>
          </cell>
          <cell r="D88">
            <v>4.1900000000000004</v>
          </cell>
          <cell r="E88">
            <v>1</v>
          </cell>
          <cell r="I88">
            <v>1.2</v>
          </cell>
          <cell r="J88">
            <v>0</v>
          </cell>
          <cell r="K88">
            <v>1.2</v>
          </cell>
          <cell r="P88">
            <v>4</v>
          </cell>
        </row>
        <row r="89">
          <cell r="B89" t="str">
            <v>10S</v>
          </cell>
          <cell r="C89">
            <v>12</v>
          </cell>
          <cell r="D89">
            <v>4.57</v>
          </cell>
          <cell r="E89">
            <v>1</v>
          </cell>
          <cell r="I89">
            <v>1.5</v>
          </cell>
          <cell r="J89">
            <v>0</v>
          </cell>
          <cell r="K89">
            <v>1.5</v>
          </cell>
          <cell r="P89">
            <v>6</v>
          </cell>
        </row>
        <row r="90">
          <cell r="B90" t="str">
            <v>10S</v>
          </cell>
          <cell r="C90">
            <v>14</v>
          </cell>
          <cell r="D90">
            <v>4.78</v>
          </cell>
          <cell r="E90">
            <v>1</v>
          </cell>
          <cell r="I90">
            <v>1.65</v>
          </cell>
          <cell r="J90">
            <v>0</v>
          </cell>
          <cell r="K90">
            <v>1.65</v>
          </cell>
          <cell r="P90">
            <v>6</v>
          </cell>
        </row>
        <row r="91">
          <cell r="B91" t="str">
            <v>10S</v>
          </cell>
          <cell r="C91">
            <v>16</v>
          </cell>
          <cell r="D91">
            <v>4.78</v>
          </cell>
          <cell r="E91">
            <v>1</v>
          </cell>
          <cell r="I91">
            <v>1.95</v>
          </cell>
          <cell r="J91">
            <v>0</v>
          </cell>
          <cell r="K91">
            <v>1.95</v>
          </cell>
          <cell r="P91">
            <v>6</v>
          </cell>
        </row>
        <row r="92">
          <cell r="B92" t="str">
            <v>10S</v>
          </cell>
          <cell r="C92">
            <v>18</v>
          </cell>
          <cell r="D92">
            <v>4.78</v>
          </cell>
          <cell r="E92">
            <v>1</v>
          </cell>
          <cell r="I92">
            <v>2.25</v>
          </cell>
          <cell r="J92">
            <v>0</v>
          </cell>
          <cell r="K92">
            <v>2.25</v>
          </cell>
          <cell r="P92">
            <v>6</v>
          </cell>
        </row>
        <row r="93">
          <cell r="B93" t="str">
            <v>10S</v>
          </cell>
          <cell r="C93">
            <v>20</v>
          </cell>
          <cell r="D93">
            <v>5.54</v>
          </cell>
          <cell r="E93">
            <v>1</v>
          </cell>
          <cell r="I93">
            <v>2.0299999999999998</v>
          </cell>
          <cell r="J93">
            <v>1.1200000000000001</v>
          </cell>
          <cell r="K93">
            <v>3.15</v>
          </cell>
          <cell r="P93">
            <v>7</v>
          </cell>
        </row>
        <row r="94">
          <cell r="B94" t="str">
            <v>10S</v>
          </cell>
          <cell r="C94">
            <v>22</v>
          </cell>
          <cell r="D94">
            <v>5.54</v>
          </cell>
          <cell r="E94">
            <v>1</v>
          </cell>
          <cell r="I94">
            <v>2.23</v>
          </cell>
          <cell r="J94">
            <v>1.37</v>
          </cell>
          <cell r="K94">
            <v>3.6</v>
          </cell>
          <cell r="P94">
            <v>8</v>
          </cell>
        </row>
        <row r="95">
          <cell r="B95" t="str">
            <v>10S</v>
          </cell>
          <cell r="C95">
            <v>24</v>
          </cell>
          <cell r="D95">
            <v>6.35</v>
          </cell>
          <cell r="E95">
            <v>1</v>
          </cell>
          <cell r="I95">
            <v>2.4300000000000002</v>
          </cell>
          <cell r="J95">
            <v>2.0699999999999998</v>
          </cell>
          <cell r="K95">
            <v>4.5</v>
          </cell>
          <cell r="P95">
            <v>8</v>
          </cell>
        </row>
        <row r="96">
          <cell r="B96" t="str">
            <v>10S</v>
          </cell>
          <cell r="C96">
            <v>30</v>
          </cell>
          <cell r="D96">
            <v>7.92</v>
          </cell>
          <cell r="E96">
            <v>1</v>
          </cell>
          <cell r="I96">
            <v>3.04</v>
          </cell>
          <cell r="J96">
            <v>5.66</v>
          </cell>
          <cell r="K96">
            <v>8.6999999999999993</v>
          </cell>
          <cell r="P96">
            <v>10</v>
          </cell>
        </row>
        <row r="97">
          <cell r="B97">
            <v>20</v>
          </cell>
          <cell r="C97">
            <v>8</v>
          </cell>
          <cell r="D97">
            <v>6.35</v>
          </cell>
          <cell r="E97">
            <v>1</v>
          </cell>
          <cell r="I97">
            <v>0.81</v>
          </cell>
          <cell r="J97">
            <v>0.99</v>
          </cell>
          <cell r="K97">
            <v>1.8</v>
          </cell>
          <cell r="P97">
            <v>4</v>
          </cell>
        </row>
        <row r="98">
          <cell r="B98">
            <v>20</v>
          </cell>
          <cell r="C98">
            <v>10</v>
          </cell>
          <cell r="D98">
            <v>6.35</v>
          </cell>
          <cell r="E98">
            <v>1</v>
          </cell>
          <cell r="I98">
            <v>1.01</v>
          </cell>
          <cell r="J98">
            <v>1.0900000000000001</v>
          </cell>
          <cell r="K98">
            <v>2.1</v>
          </cell>
          <cell r="P98">
            <v>4</v>
          </cell>
        </row>
        <row r="99">
          <cell r="B99">
            <v>20</v>
          </cell>
          <cell r="C99">
            <v>12</v>
          </cell>
          <cell r="D99">
            <v>6.35</v>
          </cell>
          <cell r="E99">
            <v>1</v>
          </cell>
          <cell r="I99">
            <v>1.22</v>
          </cell>
          <cell r="J99">
            <v>1.32</v>
          </cell>
          <cell r="K99">
            <v>2.54</v>
          </cell>
          <cell r="P99">
            <v>6</v>
          </cell>
        </row>
        <row r="100">
          <cell r="B100">
            <v>20</v>
          </cell>
          <cell r="C100">
            <v>14</v>
          </cell>
          <cell r="D100">
            <v>7.92</v>
          </cell>
          <cell r="E100">
            <v>1</v>
          </cell>
          <cell r="I100">
            <v>1.42</v>
          </cell>
          <cell r="J100">
            <v>2.48</v>
          </cell>
          <cell r="K100">
            <v>3.9</v>
          </cell>
          <cell r="P100">
            <v>6</v>
          </cell>
        </row>
        <row r="101">
          <cell r="B101">
            <v>20</v>
          </cell>
          <cell r="C101">
            <v>16</v>
          </cell>
          <cell r="D101">
            <v>7.92</v>
          </cell>
          <cell r="E101">
            <v>1</v>
          </cell>
          <cell r="I101">
            <v>1.62</v>
          </cell>
          <cell r="J101">
            <v>2.73</v>
          </cell>
          <cell r="K101">
            <v>4.3499999999999996</v>
          </cell>
          <cell r="P101">
            <v>6</v>
          </cell>
        </row>
        <row r="102">
          <cell r="B102">
            <v>20</v>
          </cell>
          <cell r="C102">
            <v>18</v>
          </cell>
          <cell r="D102">
            <v>7.92</v>
          </cell>
          <cell r="E102">
            <v>1</v>
          </cell>
          <cell r="I102">
            <v>1.82</v>
          </cell>
          <cell r="J102">
            <v>3.12</v>
          </cell>
          <cell r="K102">
            <v>4.9400000000000004</v>
          </cell>
          <cell r="P102">
            <v>6</v>
          </cell>
        </row>
        <row r="103">
          <cell r="B103">
            <v>20</v>
          </cell>
          <cell r="C103">
            <v>20</v>
          </cell>
          <cell r="D103">
            <v>9.5299999999999994</v>
          </cell>
          <cell r="E103">
            <v>1</v>
          </cell>
          <cell r="I103">
            <v>2.0299999999999998</v>
          </cell>
          <cell r="J103">
            <v>5.47</v>
          </cell>
          <cell r="K103">
            <v>7.5</v>
          </cell>
          <cell r="P103">
            <v>7</v>
          </cell>
        </row>
        <row r="104">
          <cell r="B104">
            <v>20</v>
          </cell>
          <cell r="C104">
            <v>22</v>
          </cell>
          <cell r="D104">
            <v>9.5299999999999994</v>
          </cell>
          <cell r="E104">
            <v>1</v>
          </cell>
          <cell r="I104">
            <v>2.23</v>
          </cell>
          <cell r="J104">
            <v>6.47</v>
          </cell>
          <cell r="K104">
            <v>8.6999999999999993</v>
          </cell>
          <cell r="P104">
            <v>8</v>
          </cell>
        </row>
        <row r="105">
          <cell r="B105">
            <v>20</v>
          </cell>
          <cell r="C105">
            <v>24</v>
          </cell>
          <cell r="D105">
            <v>9.5299999999999994</v>
          </cell>
          <cell r="E105">
            <v>1</v>
          </cell>
          <cell r="I105">
            <v>2.4300000000000002</v>
          </cell>
          <cell r="J105">
            <v>6.57</v>
          </cell>
          <cell r="K105">
            <v>9</v>
          </cell>
          <cell r="P105">
            <v>8</v>
          </cell>
        </row>
        <row r="106">
          <cell r="B106">
            <v>20</v>
          </cell>
          <cell r="C106">
            <v>26</v>
          </cell>
          <cell r="D106">
            <v>12.7</v>
          </cell>
          <cell r="E106">
            <v>1.25</v>
          </cell>
          <cell r="I106">
            <v>2.64</v>
          </cell>
          <cell r="J106">
            <v>13.86</v>
          </cell>
          <cell r="K106">
            <v>16.5</v>
          </cell>
          <cell r="P106">
            <v>9</v>
          </cell>
        </row>
        <row r="107">
          <cell r="B107">
            <v>20</v>
          </cell>
          <cell r="C107">
            <v>28</v>
          </cell>
          <cell r="D107">
            <v>12.7</v>
          </cell>
          <cell r="E107">
            <v>1.25</v>
          </cell>
          <cell r="I107">
            <v>2.84</v>
          </cell>
          <cell r="J107">
            <v>15.16</v>
          </cell>
          <cell r="K107">
            <v>18</v>
          </cell>
          <cell r="P107">
            <v>9</v>
          </cell>
        </row>
        <row r="108">
          <cell r="B108">
            <v>20</v>
          </cell>
          <cell r="C108">
            <v>30</v>
          </cell>
          <cell r="D108">
            <v>12.7</v>
          </cell>
          <cell r="E108">
            <v>1.25</v>
          </cell>
          <cell r="I108">
            <v>3.04</v>
          </cell>
          <cell r="J108">
            <v>16.45</v>
          </cell>
          <cell r="K108">
            <v>19.489999999999998</v>
          </cell>
          <cell r="P108">
            <v>10</v>
          </cell>
        </row>
        <row r="109">
          <cell r="B109">
            <v>20</v>
          </cell>
          <cell r="C109">
            <v>32</v>
          </cell>
          <cell r="D109">
            <v>12.7</v>
          </cell>
          <cell r="E109">
            <v>1.25</v>
          </cell>
          <cell r="I109">
            <v>3.24</v>
          </cell>
          <cell r="J109">
            <v>17.75</v>
          </cell>
          <cell r="K109">
            <v>20.99</v>
          </cell>
          <cell r="P109">
            <v>11</v>
          </cell>
        </row>
        <row r="110">
          <cell r="B110">
            <v>20</v>
          </cell>
          <cell r="C110">
            <v>34</v>
          </cell>
          <cell r="D110">
            <v>12.7</v>
          </cell>
          <cell r="E110">
            <v>1.25</v>
          </cell>
          <cell r="I110">
            <v>3.45</v>
          </cell>
          <cell r="J110">
            <v>18.54</v>
          </cell>
          <cell r="K110">
            <v>21.99</v>
          </cell>
          <cell r="P110">
            <v>12</v>
          </cell>
        </row>
        <row r="111">
          <cell r="B111">
            <v>20</v>
          </cell>
          <cell r="C111">
            <v>36</v>
          </cell>
          <cell r="D111">
            <v>12.7</v>
          </cell>
          <cell r="E111">
            <v>1.25</v>
          </cell>
          <cell r="I111">
            <v>3.65</v>
          </cell>
          <cell r="J111">
            <v>18.84</v>
          </cell>
          <cell r="K111">
            <v>22.49</v>
          </cell>
          <cell r="P111">
            <v>12</v>
          </cell>
        </row>
        <row r="112">
          <cell r="B112">
            <v>30</v>
          </cell>
          <cell r="C112">
            <v>8</v>
          </cell>
          <cell r="D112">
            <v>7.04</v>
          </cell>
          <cell r="E112">
            <v>1</v>
          </cell>
          <cell r="I112">
            <v>0.81</v>
          </cell>
          <cell r="J112">
            <v>1.1399999999999999</v>
          </cell>
          <cell r="K112">
            <v>1.95</v>
          </cell>
          <cell r="P112">
            <v>4</v>
          </cell>
        </row>
        <row r="113">
          <cell r="B113">
            <v>30</v>
          </cell>
          <cell r="C113">
            <v>10</v>
          </cell>
          <cell r="D113">
            <v>7.8</v>
          </cell>
          <cell r="E113">
            <v>1</v>
          </cell>
          <cell r="I113">
            <v>1.01</v>
          </cell>
          <cell r="J113">
            <v>1.99</v>
          </cell>
          <cell r="K113">
            <v>3</v>
          </cell>
          <cell r="P113">
            <v>4</v>
          </cell>
        </row>
        <row r="114">
          <cell r="B114">
            <v>30</v>
          </cell>
          <cell r="C114">
            <v>12</v>
          </cell>
          <cell r="D114">
            <v>8.3800000000000008</v>
          </cell>
          <cell r="E114">
            <v>1</v>
          </cell>
          <cell r="I114">
            <v>1.22</v>
          </cell>
          <cell r="J114">
            <v>2.68</v>
          </cell>
          <cell r="K114">
            <v>3.9</v>
          </cell>
          <cell r="P114">
            <v>6</v>
          </cell>
        </row>
        <row r="115">
          <cell r="B115">
            <v>30</v>
          </cell>
          <cell r="C115">
            <v>14</v>
          </cell>
          <cell r="D115">
            <v>9.5299999999999994</v>
          </cell>
          <cell r="E115">
            <v>1</v>
          </cell>
          <cell r="I115">
            <v>1.42</v>
          </cell>
          <cell r="J115">
            <v>3.97</v>
          </cell>
          <cell r="K115">
            <v>5.39</v>
          </cell>
          <cell r="P115">
            <v>6</v>
          </cell>
        </row>
        <row r="116">
          <cell r="B116">
            <v>30</v>
          </cell>
          <cell r="C116">
            <v>16</v>
          </cell>
          <cell r="D116">
            <v>9.5299999999999994</v>
          </cell>
          <cell r="E116">
            <v>1</v>
          </cell>
          <cell r="I116">
            <v>1.62</v>
          </cell>
          <cell r="J116">
            <v>4.68</v>
          </cell>
          <cell r="K116">
            <v>6.3</v>
          </cell>
          <cell r="P116">
            <v>6</v>
          </cell>
        </row>
        <row r="117">
          <cell r="B117">
            <v>30</v>
          </cell>
          <cell r="C117">
            <v>18</v>
          </cell>
          <cell r="D117">
            <v>11.13</v>
          </cell>
          <cell r="E117">
            <v>1.25</v>
          </cell>
          <cell r="I117">
            <v>1.82</v>
          </cell>
          <cell r="J117">
            <v>6.88</v>
          </cell>
          <cell r="K117">
            <v>8.6999999999999993</v>
          </cell>
          <cell r="P117">
            <v>6</v>
          </cell>
        </row>
        <row r="118">
          <cell r="B118">
            <v>30</v>
          </cell>
          <cell r="C118">
            <v>20</v>
          </cell>
          <cell r="D118">
            <v>12.7</v>
          </cell>
          <cell r="E118">
            <v>1.25</v>
          </cell>
          <cell r="I118">
            <v>2.0299999999999998</v>
          </cell>
          <cell r="J118">
            <v>10.42</v>
          </cell>
          <cell r="K118">
            <v>12.45</v>
          </cell>
          <cell r="P118">
            <v>7</v>
          </cell>
        </row>
        <row r="119">
          <cell r="B119">
            <v>30</v>
          </cell>
          <cell r="C119">
            <v>22</v>
          </cell>
          <cell r="D119">
            <v>12.7</v>
          </cell>
          <cell r="E119">
            <v>1.25</v>
          </cell>
          <cell r="I119">
            <v>2.23</v>
          </cell>
          <cell r="J119">
            <v>11.72</v>
          </cell>
          <cell r="K119">
            <v>13.95</v>
          </cell>
          <cell r="P119">
            <v>8</v>
          </cell>
        </row>
        <row r="120">
          <cell r="B120">
            <v>30</v>
          </cell>
          <cell r="C120">
            <v>24</v>
          </cell>
          <cell r="D120">
            <v>14.27</v>
          </cell>
          <cell r="E120">
            <v>1.25</v>
          </cell>
          <cell r="I120">
            <v>2.4300000000000002</v>
          </cell>
          <cell r="J120">
            <v>15.57</v>
          </cell>
          <cell r="K120">
            <v>18</v>
          </cell>
          <cell r="P120">
            <v>8</v>
          </cell>
        </row>
        <row r="121">
          <cell r="B121">
            <v>30</v>
          </cell>
          <cell r="C121">
            <v>28</v>
          </cell>
          <cell r="D121">
            <v>15.88</v>
          </cell>
          <cell r="E121">
            <v>1.5</v>
          </cell>
          <cell r="I121">
            <v>2.84</v>
          </cell>
          <cell r="J121">
            <v>22.65</v>
          </cell>
          <cell r="K121">
            <v>25.49</v>
          </cell>
          <cell r="P121">
            <v>9</v>
          </cell>
        </row>
        <row r="122">
          <cell r="B122">
            <v>30</v>
          </cell>
          <cell r="C122">
            <v>30</v>
          </cell>
          <cell r="D122">
            <v>15.88</v>
          </cell>
          <cell r="E122">
            <v>1.5</v>
          </cell>
          <cell r="I122">
            <v>3.04</v>
          </cell>
          <cell r="J122">
            <v>23.96</v>
          </cell>
          <cell r="K122">
            <v>27</v>
          </cell>
          <cell r="P122">
            <v>10</v>
          </cell>
        </row>
        <row r="123">
          <cell r="B123">
            <v>30</v>
          </cell>
          <cell r="C123">
            <v>32</v>
          </cell>
          <cell r="D123">
            <v>15.88</v>
          </cell>
          <cell r="E123">
            <v>1.5</v>
          </cell>
          <cell r="I123">
            <v>3.24</v>
          </cell>
          <cell r="J123">
            <v>26.76</v>
          </cell>
          <cell r="K123">
            <v>30</v>
          </cell>
          <cell r="P123">
            <v>11</v>
          </cell>
        </row>
        <row r="124">
          <cell r="B124">
            <v>30</v>
          </cell>
          <cell r="C124">
            <v>34</v>
          </cell>
          <cell r="D124">
            <v>15.88</v>
          </cell>
          <cell r="E124">
            <v>1.5</v>
          </cell>
          <cell r="I124">
            <v>3.45</v>
          </cell>
          <cell r="J124">
            <v>28.05</v>
          </cell>
          <cell r="K124">
            <v>31.5</v>
          </cell>
          <cell r="P124">
            <v>12</v>
          </cell>
        </row>
        <row r="125">
          <cell r="B125">
            <v>30</v>
          </cell>
          <cell r="C125">
            <v>36</v>
          </cell>
          <cell r="D125">
            <v>15.88</v>
          </cell>
          <cell r="E125">
            <v>1.5</v>
          </cell>
          <cell r="I125">
            <v>3.65</v>
          </cell>
          <cell r="J125">
            <v>29.35</v>
          </cell>
          <cell r="K125">
            <v>33</v>
          </cell>
          <cell r="P125">
            <v>12</v>
          </cell>
        </row>
        <row r="126">
          <cell r="B126">
            <v>40</v>
          </cell>
          <cell r="C126">
            <v>0.125</v>
          </cell>
          <cell r="D126">
            <v>1.73</v>
          </cell>
          <cell r="E126">
            <v>1</v>
          </cell>
          <cell r="I126">
            <v>7.0000000000000007E-2</v>
          </cell>
          <cell r="K126">
            <v>7.0000000000000007E-2</v>
          </cell>
          <cell r="P126">
            <v>2</v>
          </cell>
        </row>
        <row r="127">
          <cell r="B127">
            <v>40</v>
          </cell>
          <cell r="C127">
            <v>0.125</v>
          </cell>
          <cell r="D127">
            <v>1.73</v>
          </cell>
          <cell r="E127">
            <v>1</v>
          </cell>
          <cell r="I127">
            <v>7.0000000000000007E-2</v>
          </cell>
          <cell r="K127">
            <v>7.0000000000000007E-2</v>
          </cell>
          <cell r="P127">
            <v>2</v>
          </cell>
        </row>
        <row r="128">
          <cell r="B128">
            <v>40</v>
          </cell>
          <cell r="C128">
            <v>0.125</v>
          </cell>
          <cell r="D128">
            <v>1.73</v>
          </cell>
          <cell r="E128">
            <v>1</v>
          </cell>
          <cell r="I128">
            <v>7.0000000000000007E-2</v>
          </cell>
          <cell r="K128">
            <v>7.0000000000000007E-2</v>
          </cell>
          <cell r="P128">
            <v>2</v>
          </cell>
        </row>
        <row r="129">
          <cell r="B129">
            <v>40</v>
          </cell>
          <cell r="C129">
            <v>0.25</v>
          </cell>
          <cell r="D129">
            <v>2.2400000000000002</v>
          </cell>
          <cell r="E129">
            <v>1</v>
          </cell>
          <cell r="I129">
            <v>7.0000000000000007E-2</v>
          </cell>
          <cell r="K129">
            <v>7.0000000000000007E-2</v>
          </cell>
          <cell r="P129">
            <v>2</v>
          </cell>
        </row>
        <row r="130">
          <cell r="B130">
            <v>40</v>
          </cell>
          <cell r="C130">
            <v>0.25</v>
          </cell>
          <cell r="D130">
            <v>2.2400000000000002</v>
          </cell>
          <cell r="E130">
            <v>1</v>
          </cell>
          <cell r="I130">
            <v>7.0000000000000007E-2</v>
          </cell>
          <cell r="K130">
            <v>7.0000000000000007E-2</v>
          </cell>
          <cell r="P130">
            <v>2</v>
          </cell>
        </row>
        <row r="131">
          <cell r="B131">
            <v>40</v>
          </cell>
          <cell r="C131">
            <v>0.25</v>
          </cell>
          <cell r="D131">
            <v>2.2400000000000002</v>
          </cell>
          <cell r="E131">
            <v>1</v>
          </cell>
          <cell r="I131">
            <v>7.0000000000000007E-2</v>
          </cell>
          <cell r="K131">
            <v>7.0000000000000007E-2</v>
          </cell>
          <cell r="P131">
            <v>2</v>
          </cell>
        </row>
        <row r="132">
          <cell r="B132">
            <v>40</v>
          </cell>
          <cell r="C132">
            <v>0.375</v>
          </cell>
          <cell r="D132">
            <v>2.31</v>
          </cell>
          <cell r="E132">
            <v>1</v>
          </cell>
          <cell r="I132">
            <v>7.0000000000000007E-2</v>
          </cell>
          <cell r="J132">
            <v>0</v>
          </cell>
          <cell r="K132">
            <v>7.0000000000000007E-2</v>
          </cell>
          <cell r="P132">
            <v>2</v>
          </cell>
        </row>
        <row r="133">
          <cell r="B133">
            <v>40</v>
          </cell>
          <cell r="C133">
            <v>0.375</v>
          </cell>
          <cell r="D133">
            <v>2.31</v>
          </cell>
          <cell r="E133">
            <v>1</v>
          </cell>
          <cell r="I133">
            <v>7.0000000000000007E-2</v>
          </cell>
          <cell r="J133">
            <v>0</v>
          </cell>
          <cell r="K133">
            <v>7.0000000000000007E-2</v>
          </cell>
          <cell r="P133">
            <v>2</v>
          </cell>
        </row>
        <row r="134">
          <cell r="B134">
            <v>40</v>
          </cell>
          <cell r="C134">
            <v>0.375</v>
          </cell>
          <cell r="D134">
            <v>2.31</v>
          </cell>
          <cell r="E134">
            <v>1</v>
          </cell>
          <cell r="I134">
            <v>7.0000000000000007E-2</v>
          </cell>
          <cell r="J134">
            <v>0</v>
          </cell>
          <cell r="K134">
            <v>7.0000000000000007E-2</v>
          </cell>
          <cell r="P134">
            <v>2</v>
          </cell>
        </row>
        <row r="135">
          <cell r="B135">
            <v>40</v>
          </cell>
          <cell r="C135">
            <v>0.5</v>
          </cell>
          <cell r="D135">
            <v>2.77</v>
          </cell>
          <cell r="E135">
            <v>1</v>
          </cell>
          <cell r="I135">
            <v>7.0000000000000007E-2</v>
          </cell>
          <cell r="J135">
            <v>0</v>
          </cell>
          <cell r="K135">
            <v>7.0000000000000007E-2</v>
          </cell>
          <cell r="P135">
            <v>2</v>
          </cell>
        </row>
        <row r="136">
          <cell r="B136">
            <v>40</v>
          </cell>
          <cell r="C136">
            <v>0.5</v>
          </cell>
          <cell r="D136">
            <v>2.77</v>
          </cell>
          <cell r="E136">
            <v>1</v>
          </cell>
          <cell r="I136">
            <v>7.0000000000000007E-2</v>
          </cell>
          <cell r="J136">
            <v>0</v>
          </cell>
          <cell r="K136">
            <v>7.0000000000000007E-2</v>
          </cell>
          <cell r="P136">
            <v>2</v>
          </cell>
        </row>
        <row r="137">
          <cell r="B137">
            <v>40</v>
          </cell>
          <cell r="C137">
            <v>0.5</v>
          </cell>
          <cell r="D137">
            <v>2.77</v>
          </cell>
          <cell r="E137">
            <v>1</v>
          </cell>
          <cell r="I137">
            <v>7.0000000000000007E-2</v>
          </cell>
          <cell r="J137">
            <v>0</v>
          </cell>
          <cell r="K137">
            <v>7.0000000000000007E-2</v>
          </cell>
          <cell r="P137">
            <v>2</v>
          </cell>
        </row>
        <row r="138">
          <cell r="B138">
            <v>40</v>
          </cell>
          <cell r="C138">
            <v>0.75</v>
          </cell>
          <cell r="D138">
            <v>2.87</v>
          </cell>
          <cell r="E138">
            <v>1</v>
          </cell>
          <cell r="I138">
            <v>7.0000000000000007E-2</v>
          </cell>
          <cell r="J138">
            <v>0</v>
          </cell>
          <cell r="K138">
            <v>7.0000000000000007E-2</v>
          </cell>
          <cell r="P138">
            <v>2</v>
          </cell>
        </row>
        <row r="139">
          <cell r="B139">
            <v>40</v>
          </cell>
          <cell r="C139">
            <v>0.75</v>
          </cell>
          <cell r="D139">
            <v>2.87</v>
          </cell>
          <cell r="E139">
            <v>1</v>
          </cell>
          <cell r="I139">
            <v>7.0000000000000007E-2</v>
          </cell>
          <cell r="J139">
            <v>0</v>
          </cell>
          <cell r="K139">
            <v>7.0000000000000007E-2</v>
          </cell>
          <cell r="P139">
            <v>2</v>
          </cell>
        </row>
        <row r="140">
          <cell r="B140">
            <v>40</v>
          </cell>
          <cell r="C140">
            <v>0.75</v>
          </cell>
          <cell r="D140">
            <v>2.87</v>
          </cell>
          <cell r="E140">
            <v>1</v>
          </cell>
          <cell r="I140">
            <v>7.0000000000000007E-2</v>
          </cell>
          <cell r="J140">
            <v>0</v>
          </cell>
          <cell r="K140">
            <v>7.0000000000000007E-2</v>
          </cell>
          <cell r="P140">
            <v>2</v>
          </cell>
        </row>
        <row r="141">
          <cell r="B141">
            <v>40</v>
          </cell>
          <cell r="C141">
            <v>1</v>
          </cell>
          <cell r="D141">
            <v>3.38</v>
          </cell>
          <cell r="E141">
            <v>1</v>
          </cell>
          <cell r="I141">
            <v>0.12</v>
          </cell>
          <cell r="J141">
            <v>0</v>
          </cell>
          <cell r="K141">
            <v>0.12</v>
          </cell>
          <cell r="P141">
            <v>2</v>
          </cell>
        </row>
        <row r="142">
          <cell r="B142">
            <v>40</v>
          </cell>
          <cell r="C142">
            <v>1</v>
          </cell>
          <cell r="D142">
            <v>3.38</v>
          </cell>
          <cell r="E142">
            <v>1</v>
          </cell>
          <cell r="I142">
            <v>0.12</v>
          </cell>
          <cell r="J142">
            <v>0</v>
          </cell>
          <cell r="K142">
            <v>0.12</v>
          </cell>
          <cell r="P142">
            <v>2</v>
          </cell>
        </row>
        <row r="143">
          <cell r="B143">
            <v>40</v>
          </cell>
          <cell r="C143">
            <v>1</v>
          </cell>
          <cell r="D143">
            <v>3.38</v>
          </cell>
          <cell r="E143">
            <v>1</v>
          </cell>
          <cell r="I143">
            <v>0.12</v>
          </cell>
          <cell r="J143">
            <v>0</v>
          </cell>
          <cell r="K143">
            <v>0.12</v>
          </cell>
          <cell r="P143">
            <v>2</v>
          </cell>
        </row>
        <row r="144">
          <cell r="B144">
            <v>40</v>
          </cell>
          <cell r="C144">
            <v>1.25</v>
          </cell>
          <cell r="D144">
            <v>3.56</v>
          </cell>
          <cell r="E144">
            <v>1</v>
          </cell>
          <cell r="I144">
            <v>0.15</v>
          </cell>
          <cell r="K144">
            <v>0.15</v>
          </cell>
          <cell r="P144">
            <v>2</v>
          </cell>
        </row>
        <row r="145">
          <cell r="B145">
            <v>40</v>
          </cell>
          <cell r="C145">
            <v>1.25</v>
          </cell>
          <cell r="D145">
            <v>3.56</v>
          </cell>
          <cell r="E145">
            <v>1</v>
          </cell>
          <cell r="I145">
            <v>0.15</v>
          </cell>
          <cell r="K145">
            <v>0.15</v>
          </cell>
          <cell r="P145">
            <v>2</v>
          </cell>
        </row>
        <row r="146">
          <cell r="B146">
            <v>40</v>
          </cell>
          <cell r="C146">
            <v>1.25</v>
          </cell>
          <cell r="D146">
            <v>3.56</v>
          </cell>
          <cell r="E146">
            <v>1</v>
          </cell>
          <cell r="I146">
            <v>0.15</v>
          </cell>
          <cell r="K146">
            <v>0.15</v>
          </cell>
          <cell r="P146">
            <v>2</v>
          </cell>
        </row>
        <row r="147">
          <cell r="B147">
            <v>40</v>
          </cell>
          <cell r="C147">
            <v>1.5</v>
          </cell>
          <cell r="D147">
            <v>3.68</v>
          </cell>
          <cell r="E147">
            <v>1</v>
          </cell>
          <cell r="I147">
            <v>0.15</v>
          </cell>
          <cell r="J147">
            <v>0</v>
          </cell>
          <cell r="K147">
            <v>0.15</v>
          </cell>
          <cell r="P147">
            <v>2</v>
          </cell>
        </row>
        <row r="148">
          <cell r="B148">
            <v>40</v>
          </cell>
          <cell r="C148">
            <v>1.5</v>
          </cell>
          <cell r="D148">
            <v>3.68</v>
          </cell>
          <cell r="E148">
            <v>1</v>
          </cell>
          <cell r="I148">
            <v>0.15</v>
          </cell>
          <cell r="J148">
            <v>0</v>
          </cell>
          <cell r="K148">
            <v>0.15</v>
          </cell>
          <cell r="P148">
            <v>2</v>
          </cell>
        </row>
        <row r="149">
          <cell r="B149">
            <v>40</v>
          </cell>
          <cell r="C149">
            <v>1.5</v>
          </cell>
          <cell r="D149">
            <v>3.68</v>
          </cell>
          <cell r="E149">
            <v>1</v>
          </cell>
          <cell r="I149">
            <v>0.15</v>
          </cell>
          <cell r="J149">
            <v>0</v>
          </cell>
          <cell r="K149">
            <v>0.15</v>
          </cell>
          <cell r="P149">
            <v>2</v>
          </cell>
        </row>
        <row r="150">
          <cell r="B150">
            <v>40</v>
          </cell>
          <cell r="C150">
            <v>2</v>
          </cell>
          <cell r="D150">
            <v>3.91</v>
          </cell>
          <cell r="E150">
            <v>1</v>
          </cell>
          <cell r="I150">
            <v>0.3</v>
          </cell>
          <cell r="J150">
            <v>0</v>
          </cell>
          <cell r="K150">
            <v>0.3</v>
          </cell>
          <cell r="P150">
            <v>2</v>
          </cell>
        </row>
        <row r="151">
          <cell r="B151">
            <v>40</v>
          </cell>
          <cell r="C151">
            <v>2</v>
          </cell>
          <cell r="D151">
            <v>3.91</v>
          </cell>
          <cell r="E151">
            <v>1</v>
          </cell>
          <cell r="I151">
            <v>0.3</v>
          </cell>
          <cell r="J151">
            <v>0</v>
          </cell>
          <cell r="K151">
            <v>0.3</v>
          </cell>
          <cell r="P151">
            <v>2</v>
          </cell>
        </row>
        <row r="152">
          <cell r="B152">
            <v>40</v>
          </cell>
          <cell r="C152">
            <v>2</v>
          </cell>
          <cell r="D152">
            <v>3.91</v>
          </cell>
          <cell r="E152">
            <v>1</v>
          </cell>
          <cell r="I152">
            <v>0.3</v>
          </cell>
          <cell r="J152">
            <v>0</v>
          </cell>
          <cell r="K152">
            <v>0.3</v>
          </cell>
          <cell r="P152">
            <v>2</v>
          </cell>
        </row>
        <row r="153">
          <cell r="B153">
            <v>40</v>
          </cell>
          <cell r="C153">
            <v>2.5</v>
          </cell>
          <cell r="D153">
            <v>5.16</v>
          </cell>
          <cell r="E153">
            <v>1</v>
          </cell>
          <cell r="I153">
            <v>0.25</v>
          </cell>
          <cell r="J153">
            <v>0.2</v>
          </cell>
          <cell r="K153">
            <v>0.45</v>
          </cell>
          <cell r="P153">
            <v>2</v>
          </cell>
        </row>
        <row r="154">
          <cell r="B154">
            <v>40</v>
          </cell>
          <cell r="C154">
            <v>3</v>
          </cell>
          <cell r="D154">
            <v>5.49</v>
          </cell>
          <cell r="E154">
            <v>1</v>
          </cell>
          <cell r="I154">
            <v>0.3</v>
          </cell>
          <cell r="J154">
            <v>0.3</v>
          </cell>
          <cell r="K154">
            <v>0.6</v>
          </cell>
          <cell r="P154">
            <v>2</v>
          </cell>
        </row>
        <row r="155">
          <cell r="B155">
            <v>40</v>
          </cell>
          <cell r="C155">
            <v>3.5</v>
          </cell>
          <cell r="D155">
            <v>5.74</v>
          </cell>
          <cell r="E155">
            <v>1</v>
          </cell>
          <cell r="I155">
            <v>0.35</v>
          </cell>
          <cell r="J155">
            <v>0.4</v>
          </cell>
          <cell r="K155">
            <v>0.75</v>
          </cell>
          <cell r="P155">
            <v>3</v>
          </cell>
        </row>
        <row r="156">
          <cell r="B156">
            <v>40</v>
          </cell>
          <cell r="C156">
            <v>4</v>
          </cell>
          <cell r="D156">
            <v>6.02</v>
          </cell>
          <cell r="E156">
            <v>1</v>
          </cell>
          <cell r="I156">
            <v>0.41</v>
          </cell>
          <cell r="J156">
            <v>0.49</v>
          </cell>
          <cell r="K156">
            <v>0.9</v>
          </cell>
          <cell r="P156">
            <v>3</v>
          </cell>
        </row>
        <row r="157">
          <cell r="B157">
            <v>40</v>
          </cell>
          <cell r="C157">
            <v>5</v>
          </cell>
          <cell r="D157">
            <v>6.55</v>
          </cell>
          <cell r="E157">
            <v>1</v>
          </cell>
          <cell r="I157">
            <v>0.51</v>
          </cell>
          <cell r="J157">
            <v>0.54</v>
          </cell>
          <cell r="K157">
            <v>1.05</v>
          </cell>
          <cell r="P157">
            <v>4</v>
          </cell>
        </row>
        <row r="158">
          <cell r="B158">
            <v>40</v>
          </cell>
          <cell r="C158">
            <v>6</v>
          </cell>
          <cell r="D158">
            <v>7.11</v>
          </cell>
          <cell r="E158">
            <v>1</v>
          </cell>
          <cell r="I158">
            <v>0.61</v>
          </cell>
          <cell r="J158">
            <v>1.04</v>
          </cell>
          <cell r="K158">
            <v>1.65</v>
          </cell>
          <cell r="P158">
            <v>4</v>
          </cell>
        </row>
        <row r="159">
          <cell r="B159">
            <v>40</v>
          </cell>
          <cell r="C159">
            <v>8</v>
          </cell>
          <cell r="D159">
            <v>8.18</v>
          </cell>
          <cell r="E159">
            <v>1</v>
          </cell>
          <cell r="I159">
            <v>0.81</v>
          </cell>
          <cell r="J159">
            <v>1.73</v>
          </cell>
          <cell r="K159">
            <v>2.54</v>
          </cell>
          <cell r="P159">
            <v>4</v>
          </cell>
        </row>
        <row r="160">
          <cell r="B160">
            <v>40</v>
          </cell>
          <cell r="C160">
            <v>10</v>
          </cell>
          <cell r="D160">
            <v>9.27</v>
          </cell>
          <cell r="E160">
            <v>1</v>
          </cell>
          <cell r="I160">
            <v>1.01</v>
          </cell>
          <cell r="J160">
            <v>3.04</v>
          </cell>
          <cell r="K160">
            <v>4.05</v>
          </cell>
          <cell r="P160">
            <v>4</v>
          </cell>
        </row>
        <row r="161">
          <cell r="B161">
            <v>40</v>
          </cell>
          <cell r="C161">
            <v>12</v>
          </cell>
          <cell r="D161">
            <v>10.31</v>
          </cell>
          <cell r="E161">
            <v>1.25</v>
          </cell>
          <cell r="I161">
            <v>1.22</v>
          </cell>
          <cell r="J161">
            <v>4.0199999999999996</v>
          </cell>
          <cell r="K161">
            <v>5.24</v>
          </cell>
          <cell r="P161">
            <v>6</v>
          </cell>
        </row>
        <row r="162">
          <cell r="B162">
            <v>40</v>
          </cell>
          <cell r="C162">
            <v>14</v>
          </cell>
          <cell r="D162">
            <v>11.13</v>
          </cell>
          <cell r="E162">
            <v>1.25</v>
          </cell>
          <cell r="I162">
            <v>1.42</v>
          </cell>
          <cell r="J162">
            <v>5.33</v>
          </cell>
          <cell r="K162">
            <v>6.75</v>
          </cell>
          <cell r="P162">
            <v>6</v>
          </cell>
        </row>
        <row r="163">
          <cell r="B163">
            <v>40</v>
          </cell>
          <cell r="C163">
            <v>16</v>
          </cell>
          <cell r="D163">
            <v>12.7</v>
          </cell>
          <cell r="E163">
            <v>1.25</v>
          </cell>
          <cell r="I163">
            <v>1.62</v>
          </cell>
          <cell r="J163">
            <v>8.42</v>
          </cell>
          <cell r="K163">
            <v>10.039999999999999</v>
          </cell>
          <cell r="P163">
            <v>6</v>
          </cell>
        </row>
        <row r="164">
          <cell r="B164">
            <v>40</v>
          </cell>
          <cell r="C164">
            <v>18</v>
          </cell>
          <cell r="D164">
            <v>14.27</v>
          </cell>
          <cell r="E164">
            <v>1.25</v>
          </cell>
          <cell r="I164">
            <v>1.82</v>
          </cell>
          <cell r="J164">
            <v>11.53</v>
          </cell>
          <cell r="K164">
            <v>13.35</v>
          </cell>
          <cell r="P164">
            <v>6</v>
          </cell>
        </row>
        <row r="165">
          <cell r="B165">
            <v>40</v>
          </cell>
          <cell r="C165">
            <v>20</v>
          </cell>
          <cell r="D165">
            <v>15.09</v>
          </cell>
          <cell r="E165">
            <v>1.5</v>
          </cell>
          <cell r="I165">
            <v>2.0299999999999998</v>
          </cell>
          <cell r="J165">
            <v>14.47</v>
          </cell>
          <cell r="K165">
            <v>16.5</v>
          </cell>
          <cell r="P165">
            <v>7</v>
          </cell>
        </row>
        <row r="166">
          <cell r="B166">
            <v>40</v>
          </cell>
          <cell r="C166">
            <v>24</v>
          </cell>
          <cell r="D166">
            <v>17.48</v>
          </cell>
          <cell r="E166">
            <v>1.5</v>
          </cell>
          <cell r="I166">
            <v>2.4300000000000002</v>
          </cell>
          <cell r="J166">
            <v>24.57</v>
          </cell>
          <cell r="K166">
            <v>27</v>
          </cell>
          <cell r="P166">
            <v>8</v>
          </cell>
        </row>
        <row r="167">
          <cell r="B167">
            <v>40</v>
          </cell>
          <cell r="C167">
            <v>32</v>
          </cell>
          <cell r="D167">
            <v>17.48</v>
          </cell>
          <cell r="E167">
            <v>1.5</v>
          </cell>
          <cell r="I167">
            <v>3.24</v>
          </cell>
          <cell r="J167">
            <v>31.26</v>
          </cell>
          <cell r="K167">
            <v>34.5</v>
          </cell>
          <cell r="P167">
            <v>11</v>
          </cell>
        </row>
        <row r="168">
          <cell r="B168">
            <v>40</v>
          </cell>
          <cell r="C168">
            <v>34</v>
          </cell>
          <cell r="D168">
            <v>17.48</v>
          </cell>
          <cell r="E168">
            <v>1.5</v>
          </cell>
          <cell r="I168">
            <v>3.45</v>
          </cell>
          <cell r="J168">
            <v>34.049999999999997</v>
          </cell>
          <cell r="K168">
            <v>37.5</v>
          </cell>
          <cell r="P168">
            <v>12</v>
          </cell>
        </row>
        <row r="169">
          <cell r="B169">
            <v>40</v>
          </cell>
          <cell r="C169">
            <v>36</v>
          </cell>
          <cell r="D169">
            <v>19.05</v>
          </cell>
          <cell r="E169">
            <v>2</v>
          </cell>
          <cell r="I169">
            <v>3.65</v>
          </cell>
          <cell r="J169">
            <v>41.34</v>
          </cell>
          <cell r="K169">
            <v>44.99</v>
          </cell>
          <cell r="P169">
            <v>12</v>
          </cell>
        </row>
        <row r="170">
          <cell r="B170" t="str">
            <v>40S</v>
          </cell>
          <cell r="C170">
            <v>0.125</v>
          </cell>
          <cell r="D170">
            <v>1.73</v>
          </cell>
          <cell r="E170">
            <v>1</v>
          </cell>
          <cell r="I170">
            <v>7.0000000000000007E-2</v>
          </cell>
          <cell r="K170">
            <v>7.0000000000000007E-2</v>
          </cell>
          <cell r="P170">
            <v>2</v>
          </cell>
        </row>
        <row r="171">
          <cell r="B171" t="str">
            <v>40S</v>
          </cell>
          <cell r="C171">
            <v>0.125</v>
          </cell>
          <cell r="D171">
            <v>1.73</v>
          </cell>
          <cell r="E171">
            <v>1</v>
          </cell>
          <cell r="I171">
            <v>7.0000000000000007E-2</v>
          </cell>
          <cell r="K171">
            <v>7.0000000000000007E-2</v>
          </cell>
          <cell r="P171">
            <v>2</v>
          </cell>
        </row>
        <row r="172">
          <cell r="B172" t="str">
            <v>40S</v>
          </cell>
          <cell r="C172">
            <v>0.125</v>
          </cell>
          <cell r="D172">
            <v>1.73</v>
          </cell>
          <cell r="E172">
            <v>1</v>
          </cell>
          <cell r="I172">
            <v>7.0000000000000007E-2</v>
          </cell>
          <cell r="K172">
            <v>7.0000000000000007E-2</v>
          </cell>
          <cell r="P172">
            <v>2</v>
          </cell>
        </row>
        <row r="173">
          <cell r="B173" t="str">
            <v>40S</v>
          </cell>
          <cell r="C173">
            <v>0.25</v>
          </cell>
          <cell r="D173">
            <v>2.2400000000000002</v>
          </cell>
          <cell r="E173">
            <v>1</v>
          </cell>
          <cell r="I173">
            <v>7.0000000000000007E-2</v>
          </cell>
          <cell r="K173">
            <v>7.0000000000000007E-2</v>
          </cell>
          <cell r="P173">
            <v>2</v>
          </cell>
        </row>
        <row r="174">
          <cell r="B174" t="str">
            <v>40S</v>
          </cell>
          <cell r="C174">
            <v>0.25</v>
          </cell>
          <cell r="D174">
            <v>2.2400000000000002</v>
          </cell>
          <cell r="E174">
            <v>1</v>
          </cell>
          <cell r="I174">
            <v>7.0000000000000007E-2</v>
          </cell>
          <cell r="K174">
            <v>7.0000000000000007E-2</v>
          </cell>
          <cell r="P174">
            <v>2</v>
          </cell>
        </row>
        <row r="175">
          <cell r="B175" t="str">
            <v>40S</v>
          </cell>
          <cell r="C175">
            <v>0.25</v>
          </cell>
          <cell r="D175">
            <v>2.2400000000000002</v>
          </cell>
          <cell r="E175">
            <v>1</v>
          </cell>
          <cell r="I175">
            <v>7.0000000000000007E-2</v>
          </cell>
          <cell r="K175">
            <v>7.0000000000000007E-2</v>
          </cell>
          <cell r="P175">
            <v>2</v>
          </cell>
        </row>
        <row r="176">
          <cell r="B176" t="str">
            <v>40S</v>
          </cell>
          <cell r="C176">
            <v>0.375</v>
          </cell>
          <cell r="D176">
            <v>2.31</v>
          </cell>
          <cell r="E176">
            <v>1</v>
          </cell>
          <cell r="I176">
            <v>7.0000000000000007E-2</v>
          </cell>
          <cell r="K176">
            <v>7.0000000000000007E-2</v>
          </cell>
          <cell r="P176">
            <v>2</v>
          </cell>
        </row>
        <row r="177">
          <cell r="B177" t="str">
            <v>40S</v>
          </cell>
          <cell r="C177">
            <v>0.375</v>
          </cell>
          <cell r="D177">
            <v>2.31</v>
          </cell>
          <cell r="E177">
            <v>1</v>
          </cell>
          <cell r="I177">
            <v>7.0000000000000007E-2</v>
          </cell>
          <cell r="K177">
            <v>7.0000000000000007E-2</v>
          </cell>
          <cell r="P177">
            <v>2</v>
          </cell>
        </row>
        <row r="178">
          <cell r="B178" t="str">
            <v>40S</v>
          </cell>
          <cell r="C178">
            <v>0.375</v>
          </cell>
          <cell r="D178">
            <v>2.31</v>
          </cell>
          <cell r="E178">
            <v>1</v>
          </cell>
          <cell r="I178">
            <v>7.0000000000000007E-2</v>
          </cell>
          <cell r="K178">
            <v>7.0000000000000007E-2</v>
          </cell>
          <cell r="P178">
            <v>2</v>
          </cell>
        </row>
        <row r="179">
          <cell r="B179" t="str">
            <v>40S</v>
          </cell>
          <cell r="C179">
            <v>0.5</v>
          </cell>
          <cell r="D179">
            <v>2.77</v>
          </cell>
          <cell r="E179">
            <v>1</v>
          </cell>
          <cell r="I179">
            <v>7.0000000000000007E-2</v>
          </cell>
          <cell r="J179">
            <v>0</v>
          </cell>
          <cell r="K179">
            <v>7.0000000000000007E-2</v>
          </cell>
          <cell r="P179">
            <v>2</v>
          </cell>
        </row>
        <row r="180">
          <cell r="B180" t="str">
            <v>40S</v>
          </cell>
          <cell r="C180">
            <v>0.5</v>
          </cell>
          <cell r="D180">
            <v>2.77</v>
          </cell>
          <cell r="E180">
            <v>1</v>
          </cell>
          <cell r="I180">
            <v>7.0000000000000007E-2</v>
          </cell>
          <cell r="J180">
            <v>0</v>
          </cell>
          <cell r="K180">
            <v>7.0000000000000007E-2</v>
          </cell>
          <cell r="P180">
            <v>2</v>
          </cell>
        </row>
        <row r="181">
          <cell r="B181" t="str">
            <v>40S</v>
          </cell>
          <cell r="C181">
            <v>0.5</v>
          </cell>
          <cell r="D181">
            <v>2.77</v>
          </cell>
          <cell r="E181">
            <v>1</v>
          </cell>
          <cell r="I181">
            <v>7.0000000000000007E-2</v>
          </cell>
          <cell r="J181">
            <v>0</v>
          </cell>
          <cell r="K181">
            <v>7.0000000000000007E-2</v>
          </cell>
          <cell r="P181">
            <v>2</v>
          </cell>
        </row>
        <row r="182">
          <cell r="B182" t="str">
            <v>40S</v>
          </cell>
          <cell r="C182">
            <v>0.75</v>
          </cell>
          <cell r="D182">
            <v>2.87</v>
          </cell>
          <cell r="E182">
            <v>1</v>
          </cell>
          <cell r="I182">
            <v>7.0000000000000007E-2</v>
          </cell>
          <cell r="J182">
            <v>0</v>
          </cell>
          <cell r="K182">
            <v>7.0000000000000007E-2</v>
          </cell>
          <cell r="P182">
            <v>2</v>
          </cell>
        </row>
        <row r="183">
          <cell r="B183" t="str">
            <v>40S</v>
          </cell>
          <cell r="C183">
            <v>0.75</v>
          </cell>
          <cell r="D183">
            <v>2.87</v>
          </cell>
          <cell r="E183">
            <v>1</v>
          </cell>
          <cell r="I183">
            <v>7.0000000000000007E-2</v>
          </cell>
          <cell r="J183">
            <v>0</v>
          </cell>
          <cell r="K183">
            <v>7.0000000000000007E-2</v>
          </cell>
          <cell r="P183">
            <v>2</v>
          </cell>
        </row>
        <row r="184">
          <cell r="B184" t="str">
            <v>40S</v>
          </cell>
          <cell r="C184">
            <v>0.75</v>
          </cell>
          <cell r="D184">
            <v>2.87</v>
          </cell>
          <cell r="E184">
            <v>1</v>
          </cell>
          <cell r="I184">
            <v>7.0000000000000007E-2</v>
          </cell>
          <cell r="J184">
            <v>0</v>
          </cell>
          <cell r="K184">
            <v>7.0000000000000007E-2</v>
          </cell>
          <cell r="P184">
            <v>2</v>
          </cell>
        </row>
        <row r="185">
          <cell r="B185" t="str">
            <v>40S</v>
          </cell>
          <cell r="C185">
            <v>1</v>
          </cell>
          <cell r="D185">
            <v>3.38</v>
          </cell>
          <cell r="E185">
            <v>1</v>
          </cell>
          <cell r="I185">
            <v>0.12</v>
          </cell>
          <cell r="J185">
            <v>0</v>
          </cell>
          <cell r="K185">
            <v>0.12</v>
          </cell>
          <cell r="P185">
            <v>2</v>
          </cell>
        </row>
        <row r="186">
          <cell r="B186" t="str">
            <v>40S</v>
          </cell>
          <cell r="C186">
            <v>1</v>
          </cell>
          <cell r="D186">
            <v>3.38</v>
          </cell>
          <cell r="E186">
            <v>1</v>
          </cell>
          <cell r="I186">
            <v>0.12</v>
          </cell>
          <cell r="J186">
            <v>0</v>
          </cell>
          <cell r="K186">
            <v>0.12</v>
          </cell>
          <cell r="P186">
            <v>2</v>
          </cell>
        </row>
        <row r="187">
          <cell r="B187" t="str">
            <v>40S</v>
          </cell>
          <cell r="C187">
            <v>1</v>
          </cell>
          <cell r="D187">
            <v>3.38</v>
          </cell>
          <cell r="E187">
            <v>1</v>
          </cell>
          <cell r="I187">
            <v>0.12</v>
          </cell>
          <cell r="J187">
            <v>0</v>
          </cell>
          <cell r="K187">
            <v>0.12</v>
          </cell>
          <cell r="P187">
            <v>2</v>
          </cell>
        </row>
        <row r="188">
          <cell r="B188" t="str">
            <v>40S</v>
          </cell>
          <cell r="C188">
            <v>1.25</v>
          </cell>
          <cell r="D188">
            <v>3.56</v>
          </cell>
          <cell r="E188">
            <v>1</v>
          </cell>
          <cell r="I188">
            <v>0.15</v>
          </cell>
          <cell r="K188">
            <v>0.15</v>
          </cell>
          <cell r="P188">
            <v>2</v>
          </cell>
        </row>
        <row r="189">
          <cell r="B189" t="str">
            <v>40S</v>
          </cell>
          <cell r="C189">
            <v>1.25</v>
          </cell>
          <cell r="D189">
            <v>3.56</v>
          </cell>
          <cell r="E189">
            <v>1</v>
          </cell>
          <cell r="I189">
            <v>0.15</v>
          </cell>
          <cell r="K189">
            <v>0.15</v>
          </cell>
          <cell r="P189">
            <v>2</v>
          </cell>
        </row>
        <row r="190">
          <cell r="B190" t="str">
            <v>40S</v>
          </cell>
          <cell r="C190">
            <v>1.25</v>
          </cell>
          <cell r="D190">
            <v>3.56</v>
          </cell>
          <cell r="E190">
            <v>1</v>
          </cell>
          <cell r="I190">
            <v>0.15</v>
          </cell>
          <cell r="K190">
            <v>0.15</v>
          </cell>
          <cell r="P190">
            <v>2</v>
          </cell>
        </row>
        <row r="191">
          <cell r="B191" t="str">
            <v>40S</v>
          </cell>
          <cell r="C191">
            <v>1.5</v>
          </cell>
          <cell r="D191">
            <v>3.68</v>
          </cell>
          <cell r="E191">
            <v>1</v>
          </cell>
          <cell r="I191">
            <v>0.15</v>
          </cell>
          <cell r="J191">
            <v>0</v>
          </cell>
          <cell r="K191">
            <v>0.15</v>
          </cell>
          <cell r="P191">
            <v>2</v>
          </cell>
        </row>
        <row r="192">
          <cell r="B192" t="str">
            <v>40S</v>
          </cell>
          <cell r="C192">
            <v>1.5</v>
          </cell>
          <cell r="D192">
            <v>3.68</v>
          </cell>
          <cell r="E192">
            <v>1</v>
          </cell>
          <cell r="I192">
            <v>0.15</v>
          </cell>
          <cell r="J192">
            <v>0</v>
          </cell>
          <cell r="K192">
            <v>0.15</v>
          </cell>
          <cell r="P192">
            <v>2</v>
          </cell>
        </row>
        <row r="193">
          <cell r="B193" t="str">
            <v>40S</v>
          </cell>
          <cell r="C193">
            <v>1.5</v>
          </cell>
          <cell r="D193">
            <v>3.68</v>
          </cell>
          <cell r="E193">
            <v>1</v>
          </cell>
          <cell r="I193">
            <v>0.15</v>
          </cell>
          <cell r="J193">
            <v>0</v>
          </cell>
          <cell r="K193">
            <v>0.15</v>
          </cell>
          <cell r="P193">
            <v>2</v>
          </cell>
        </row>
        <row r="194">
          <cell r="B194" t="str">
            <v>40S</v>
          </cell>
          <cell r="C194">
            <v>2</v>
          </cell>
          <cell r="D194">
            <v>3.91</v>
          </cell>
          <cell r="E194">
            <v>1</v>
          </cell>
          <cell r="I194">
            <v>0.3</v>
          </cell>
          <cell r="J194">
            <v>0</v>
          </cell>
          <cell r="K194">
            <v>0.3</v>
          </cell>
          <cell r="P194">
            <v>2</v>
          </cell>
        </row>
        <row r="195">
          <cell r="B195" t="str">
            <v>40S</v>
          </cell>
          <cell r="C195">
            <v>2</v>
          </cell>
          <cell r="D195">
            <v>3.91</v>
          </cell>
          <cell r="E195">
            <v>1</v>
          </cell>
          <cell r="I195">
            <v>0.3</v>
          </cell>
          <cell r="J195">
            <v>0</v>
          </cell>
          <cell r="K195">
            <v>0.3</v>
          </cell>
          <cell r="P195">
            <v>2</v>
          </cell>
        </row>
        <row r="196">
          <cell r="B196" t="str">
            <v>40S</v>
          </cell>
          <cell r="C196">
            <v>2</v>
          </cell>
          <cell r="D196">
            <v>3.91</v>
          </cell>
          <cell r="E196">
            <v>1</v>
          </cell>
          <cell r="I196">
            <v>0.3</v>
          </cell>
          <cell r="J196">
            <v>0</v>
          </cell>
          <cell r="K196">
            <v>0.3</v>
          </cell>
          <cell r="P196">
            <v>2</v>
          </cell>
        </row>
        <row r="197">
          <cell r="B197" t="str">
            <v>40S</v>
          </cell>
          <cell r="C197">
            <v>2.5</v>
          </cell>
          <cell r="D197">
            <v>5.16</v>
          </cell>
          <cell r="E197">
            <v>1</v>
          </cell>
          <cell r="I197">
            <v>0.25</v>
          </cell>
          <cell r="J197">
            <v>0.2</v>
          </cell>
          <cell r="K197">
            <v>0.45</v>
          </cell>
          <cell r="P197">
            <v>2</v>
          </cell>
        </row>
        <row r="198">
          <cell r="B198" t="str">
            <v>40S</v>
          </cell>
          <cell r="C198">
            <v>3</v>
          </cell>
          <cell r="D198">
            <v>5.49</v>
          </cell>
          <cell r="E198">
            <v>1</v>
          </cell>
          <cell r="I198">
            <v>0.3</v>
          </cell>
          <cell r="J198">
            <v>0.3</v>
          </cell>
          <cell r="K198">
            <v>0.6</v>
          </cell>
          <cell r="P198">
            <v>2</v>
          </cell>
        </row>
        <row r="199">
          <cell r="B199" t="str">
            <v>40S</v>
          </cell>
          <cell r="C199">
            <v>3.5</v>
          </cell>
          <cell r="D199">
            <v>5.74</v>
          </cell>
          <cell r="E199">
            <v>1</v>
          </cell>
          <cell r="I199">
            <v>0.35</v>
          </cell>
          <cell r="J199">
            <v>0.4</v>
          </cell>
          <cell r="K199">
            <v>0.75</v>
          </cell>
          <cell r="P199">
            <v>3</v>
          </cell>
        </row>
        <row r="200">
          <cell r="B200" t="str">
            <v>40S</v>
          </cell>
          <cell r="C200">
            <v>4</v>
          </cell>
          <cell r="D200">
            <v>6.02</v>
          </cell>
          <cell r="E200">
            <v>1</v>
          </cell>
          <cell r="I200">
            <v>0.41</v>
          </cell>
          <cell r="J200">
            <v>0.49</v>
          </cell>
          <cell r="K200">
            <v>0.9</v>
          </cell>
          <cell r="P200">
            <v>3</v>
          </cell>
        </row>
        <row r="201">
          <cell r="B201" t="str">
            <v>40S</v>
          </cell>
          <cell r="C201">
            <v>5</v>
          </cell>
          <cell r="D201">
            <v>6.55</v>
          </cell>
          <cell r="E201">
            <v>1</v>
          </cell>
          <cell r="I201">
            <v>0.51</v>
          </cell>
          <cell r="J201">
            <v>0.54</v>
          </cell>
          <cell r="K201">
            <v>1.05</v>
          </cell>
          <cell r="P201">
            <v>4</v>
          </cell>
        </row>
        <row r="202">
          <cell r="B202" t="str">
            <v>40S</v>
          </cell>
          <cell r="C202">
            <v>6</v>
          </cell>
          <cell r="D202">
            <v>7.11</v>
          </cell>
          <cell r="E202">
            <v>1</v>
          </cell>
          <cell r="I202">
            <v>0.61</v>
          </cell>
          <cell r="J202">
            <v>1.04</v>
          </cell>
          <cell r="K202">
            <v>1.65</v>
          </cell>
          <cell r="P202">
            <v>4</v>
          </cell>
        </row>
        <row r="203">
          <cell r="B203" t="str">
            <v>40S</v>
          </cell>
          <cell r="C203">
            <v>8</v>
          </cell>
          <cell r="D203">
            <v>8.18</v>
          </cell>
          <cell r="E203">
            <v>1</v>
          </cell>
          <cell r="I203">
            <v>0.81</v>
          </cell>
          <cell r="J203">
            <v>1.73</v>
          </cell>
          <cell r="K203">
            <v>2.54</v>
          </cell>
          <cell r="P203">
            <v>4</v>
          </cell>
        </row>
        <row r="204">
          <cell r="B204" t="str">
            <v>40S</v>
          </cell>
          <cell r="C204">
            <v>10</v>
          </cell>
          <cell r="D204">
            <v>9.27</v>
          </cell>
          <cell r="E204">
            <v>1</v>
          </cell>
          <cell r="I204">
            <v>1.01</v>
          </cell>
          <cell r="J204">
            <v>3.04</v>
          </cell>
          <cell r="K204">
            <v>4.05</v>
          </cell>
          <cell r="P204">
            <v>4</v>
          </cell>
        </row>
        <row r="205">
          <cell r="B205" t="str">
            <v>40S</v>
          </cell>
          <cell r="C205">
            <v>12</v>
          </cell>
          <cell r="D205">
            <v>9.5299999999999994</v>
          </cell>
          <cell r="E205">
            <v>1</v>
          </cell>
          <cell r="I205">
            <v>1.22</v>
          </cell>
          <cell r="J205">
            <v>3.28</v>
          </cell>
          <cell r="K205">
            <v>4.5</v>
          </cell>
          <cell r="P205">
            <v>6</v>
          </cell>
        </row>
        <row r="206">
          <cell r="B206">
            <v>60</v>
          </cell>
          <cell r="C206">
            <v>8</v>
          </cell>
          <cell r="D206">
            <v>10.31</v>
          </cell>
          <cell r="E206">
            <v>1.25</v>
          </cell>
          <cell r="I206">
            <v>0.81</v>
          </cell>
          <cell r="J206">
            <v>2.64</v>
          </cell>
          <cell r="K206">
            <v>3.45</v>
          </cell>
          <cell r="P206">
            <v>4</v>
          </cell>
        </row>
        <row r="207">
          <cell r="B207">
            <v>60</v>
          </cell>
          <cell r="C207">
            <v>10</v>
          </cell>
          <cell r="D207">
            <v>12.7</v>
          </cell>
          <cell r="E207">
            <v>1.25</v>
          </cell>
          <cell r="I207">
            <v>1.01</v>
          </cell>
          <cell r="J207">
            <v>5.74</v>
          </cell>
          <cell r="K207">
            <v>6.75</v>
          </cell>
          <cell r="P207">
            <v>4</v>
          </cell>
        </row>
        <row r="208">
          <cell r="B208">
            <v>60</v>
          </cell>
          <cell r="C208">
            <v>12</v>
          </cell>
          <cell r="D208">
            <v>14.27</v>
          </cell>
          <cell r="E208">
            <v>1.25</v>
          </cell>
          <cell r="I208">
            <v>1.22</v>
          </cell>
          <cell r="J208">
            <v>8.3800000000000008</v>
          </cell>
          <cell r="K208">
            <v>9.6</v>
          </cell>
          <cell r="P208">
            <v>6</v>
          </cell>
        </row>
        <row r="209">
          <cell r="B209">
            <v>60</v>
          </cell>
          <cell r="C209">
            <v>14</v>
          </cell>
          <cell r="D209">
            <v>15.09</v>
          </cell>
          <cell r="E209">
            <v>1.5</v>
          </cell>
          <cell r="I209">
            <v>1.42</v>
          </cell>
          <cell r="J209">
            <v>9.9700000000000006</v>
          </cell>
          <cell r="K209">
            <v>11.39</v>
          </cell>
          <cell r="P209">
            <v>6</v>
          </cell>
        </row>
        <row r="210">
          <cell r="B210">
            <v>60</v>
          </cell>
          <cell r="C210">
            <v>16</v>
          </cell>
          <cell r="D210">
            <v>16.66</v>
          </cell>
          <cell r="E210">
            <v>1.5</v>
          </cell>
          <cell r="I210">
            <v>1.62</v>
          </cell>
          <cell r="J210">
            <v>14.88</v>
          </cell>
          <cell r="K210">
            <v>16.5</v>
          </cell>
          <cell r="P210">
            <v>6</v>
          </cell>
        </row>
        <row r="211">
          <cell r="B211">
            <v>60</v>
          </cell>
          <cell r="C211">
            <v>18</v>
          </cell>
          <cell r="D211">
            <v>19.05</v>
          </cell>
          <cell r="E211">
            <v>2</v>
          </cell>
          <cell r="I211">
            <v>1.82</v>
          </cell>
          <cell r="J211">
            <v>20.67</v>
          </cell>
          <cell r="K211">
            <v>22.49</v>
          </cell>
          <cell r="P211">
            <v>6</v>
          </cell>
        </row>
        <row r="212">
          <cell r="B212">
            <v>60</v>
          </cell>
          <cell r="C212">
            <v>20</v>
          </cell>
          <cell r="D212">
            <v>20.62</v>
          </cell>
          <cell r="E212">
            <v>2</v>
          </cell>
          <cell r="I212">
            <v>2.0299999999999998</v>
          </cell>
          <cell r="J212">
            <v>23.47</v>
          </cell>
          <cell r="K212">
            <v>25.5</v>
          </cell>
          <cell r="P212">
            <v>7</v>
          </cell>
        </row>
        <row r="213">
          <cell r="B213">
            <v>60</v>
          </cell>
          <cell r="C213">
            <v>22</v>
          </cell>
          <cell r="D213">
            <v>22.23</v>
          </cell>
          <cell r="E213">
            <v>2</v>
          </cell>
          <cell r="I213">
            <v>2.23</v>
          </cell>
          <cell r="J213">
            <v>29.27</v>
          </cell>
          <cell r="K213">
            <v>31.5</v>
          </cell>
          <cell r="P213">
            <v>8</v>
          </cell>
        </row>
        <row r="214">
          <cell r="B214">
            <v>60</v>
          </cell>
          <cell r="C214">
            <v>24</v>
          </cell>
          <cell r="D214">
            <v>24.61</v>
          </cell>
          <cell r="E214">
            <v>2</v>
          </cell>
          <cell r="I214">
            <v>2.4300000000000002</v>
          </cell>
          <cell r="J214">
            <v>35.07</v>
          </cell>
          <cell r="K214">
            <v>37.5</v>
          </cell>
          <cell r="P214">
            <v>8</v>
          </cell>
        </row>
        <row r="215">
          <cell r="B215">
            <v>80</v>
          </cell>
          <cell r="C215">
            <v>0.125</v>
          </cell>
          <cell r="D215">
            <v>2.41</v>
          </cell>
          <cell r="E215">
            <v>1</v>
          </cell>
          <cell r="I215">
            <v>7.0000000000000007E-2</v>
          </cell>
          <cell r="K215">
            <v>7.0000000000000007E-2</v>
          </cell>
          <cell r="P215">
            <v>2</v>
          </cell>
        </row>
        <row r="216">
          <cell r="B216">
            <v>80</v>
          </cell>
          <cell r="C216">
            <v>0.125</v>
          </cell>
          <cell r="D216">
            <v>2.41</v>
          </cell>
          <cell r="E216">
            <v>1</v>
          </cell>
          <cell r="I216">
            <v>7.0000000000000007E-2</v>
          </cell>
          <cell r="K216">
            <v>7.0000000000000007E-2</v>
          </cell>
          <cell r="P216">
            <v>2</v>
          </cell>
        </row>
        <row r="217">
          <cell r="B217">
            <v>80</v>
          </cell>
          <cell r="C217">
            <v>0.125</v>
          </cell>
          <cell r="D217">
            <v>2.41</v>
          </cell>
          <cell r="E217">
            <v>1</v>
          </cell>
          <cell r="I217">
            <v>7.0000000000000007E-2</v>
          </cell>
          <cell r="K217">
            <v>7.0000000000000007E-2</v>
          </cell>
          <cell r="P217">
            <v>2</v>
          </cell>
        </row>
        <row r="218">
          <cell r="B218">
            <v>80</v>
          </cell>
          <cell r="C218">
            <v>0.25</v>
          </cell>
          <cell r="D218">
            <v>3.02</v>
          </cell>
          <cell r="E218">
            <v>1</v>
          </cell>
          <cell r="I218">
            <v>7.0000000000000007E-2</v>
          </cell>
          <cell r="K218">
            <v>7.0000000000000007E-2</v>
          </cell>
          <cell r="P218">
            <v>2</v>
          </cell>
        </row>
        <row r="219">
          <cell r="B219">
            <v>80</v>
          </cell>
          <cell r="C219">
            <v>0.25</v>
          </cell>
          <cell r="D219">
            <v>3.02</v>
          </cell>
          <cell r="E219">
            <v>1</v>
          </cell>
          <cell r="I219">
            <v>7.0000000000000007E-2</v>
          </cell>
          <cell r="K219">
            <v>7.0000000000000007E-2</v>
          </cell>
          <cell r="P219">
            <v>2</v>
          </cell>
        </row>
        <row r="220">
          <cell r="B220">
            <v>80</v>
          </cell>
          <cell r="C220">
            <v>0.25</v>
          </cell>
          <cell r="D220">
            <v>3.02</v>
          </cell>
          <cell r="E220">
            <v>1</v>
          </cell>
          <cell r="I220">
            <v>7.0000000000000007E-2</v>
          </cell>
          <cell r="K220">
            <v>7.0000000000000007E-2</v>
          </cell>
          <cell r="P220">
            <v>2</v>
          </cell>
        </row>
        <row r="221">
          <cell r="B221">
            <v>80</v>
          </cell>
          <cell r="C221">
            <v>0.375</v>
          </cell>
          <cell r="D221">
            <v>3.2</v>
          </cell>
          <cell r="E221">
            <v>1</v>
          </cell>
          <cell r="I221">
            <v>7.0000000000000007E-2</v>
          </cell>
          <cell r="J221">
            <v>0</v>
          </cell>
          <cell r="K221">
            <v>7.0000000000000007E-2</v>
          </cell>
          <cell r="P221">
            <v>2</v>
          </cell>
        </row>
        <row r="222">
          <cell r="B222">
            <v>80</v>
          </cell>
          <cell r="C222">
            <v>0.375</v>
          </cell>
          <cell r="D222">
            <v>3.2</v>
          </cell>
          <cell r="E222">
            <v>1</v>
          </cell>
          <cell r="I222">
            <v>7.0000000000000007E-2</v>
          </cell>
          <cell r="J222">
            <v>0</v>
          </cell>
          <cell r="K222">
            <v>7.0000000000000007E-2</v>
          </cell>
          <cell r="P222">
            <v>2</v>
          </cell>
        </row>
        <row r="223">
          <cell r="B223">
            <v>80</v>
          </cell>
          <cell r="C223">
            <v>0.375</v>
          </cell>
          <cell r="D223">
            <v>3.2</v>
          </cell>
          <cell r="E223">
            <v>1</v>
          </cell>
          <cell r="I223">
            <v>7.0000000000000007E-2</v>
          </cell>
          <cell r="J223">
            <v>0</v>
          </cell>
          <cell r="K223">
            <v>7.0000000000000007E-2</v>
          </cell>
          <cell r="P223">
            <v>2</v>
          </cell>
        </row>
        <row r="224">
          <cell r="B224">
            <v>80</v>
          </cell>
          <cell r="C224">
            <v>0.5</v>
          </cell>
          <cell r="D224">
            <v>3.73</v>
          </cell>
          <cell r="E224">
            <v>1</v>
          </cell>
          <cell r="I224">
            <v>7.0000000000000007E-2</v>
          </cell>
          <cell r="J224">
            <v>0</v>
          </cell>
          <cell r="K224">
            <v>7.0000000000000007E-2</v>
          </cell>
          <cell r="P224">
            <v>2</v>
          </cell>
        </row>
        <row r="225">
          <cell r="B225">
            <v>80</v>
          </cell>
          <cell r="C225">
            <v>0.5</v>
          </cell>
          <cell r="D225">
            <v>3.73</v>
          </cell>
          <cell r="E225">
            <v>1</v>
          </cell>
          <cell r="I225">
            <v>7.0000000000000007E-2</v>
          </cell>
          <cell r="J225">
            <v>0</v>
          </cell>
          <cell r="K225">
            <v>7.0000000000000007E-2</v>
          </cell>
          <cell r="P225">
            <v>2</v>
          </cell>
        </row>
        <row r="226">
          <cell r="B226">
            <v>80</v>
          </cell>
          <cell r="C226">
            <v>0.5</v>
          </cell>
          <cell r="D226">
            <v>3.73</v>
          </cell>
          <cell r="E226">
            <v>1</v>
          </cell>
          <cell r="I226">
            <v>7.0000000000000007E-2</v>
          </cell>
          <cell r="J226">
            <v>0</v>
          </cell>
          <cell r="K226">
            <v>7.0000000000000007E-2</v>
          </cell>
          <cell r="P226">
            <v>2</v>
          </cell>
        </row>
        <row r="227">
          <cell r="B227">
            <v>80</v>
          </cell>
          <cell r="C227">
            <v>0.75</v>
          </cell>
          <cell r="D227">
            <v>3.91</v>
          </cell>
          <cell r="E227">
            <v>1</v>
          </cell>
          <cell r="I227">
            <v>7.0000000000000007E-2</v>
          </cell>
          <cell r="J227">
            <v>0</v>
          </cell>
          <cell r="K227">
            <v>7.0000000000000007E-2</v>
          </cell>
          <cell r="P227">
            <v>2</v>
          </cell>
        </row>
        <row r="228">
          <cell r="B228">
            <v>80</v>
          </cell>
          <cell r="C228">
            <v>0.75</v>
          </cell>
          <cell r="D228">
            <v>3.91</v>
          </cell>
          <cell r="E228">
            <v>1</v>
          </cell>
          <cell r="I228">
            <v>7.0000000000000007E-2</v>
          </cell>
          <cell r="J228">
            <v>0</v>
          </cell>
          <cell r="K228">
            <v>7.0000000000000007E-2</v>
          </cell>
          <cell r="P228">
            <v>2</v>
          </cell>
        </row>
        <row r="229">
          <cell r="B229">
            <v>80</v>
          </cell>
          <cell r="C229">
            <v>0.75</v>
          </cell>
          <cell r="D229">
            <v>3.91</v>
          </cell>
          <cell r="E229">
            <v>1</v>
          </cell>
          <cell r="I229">
            <v>7.0000000000000007E-2</v>
          </cell>
          <cell r="J229">
            <v>0</v>
          </cell>
          <cell r="K229">
            <v>7.0000000000000007E-2</v>
          </cell>
          <cell r="P229">
            <v>2</v>
          </cell>
        </row>
        <row r="230">
          <cell r="B230">
            <v>80</v>
          </cell>
          <cell r="C230">
            <v>1</v>
          </cell>
          <cell r="D230">
            <v>4.55</v>
          </cell>
          <cell r="E230">
            <v>1</v>
          </cell>
          <cell r="I230">
            <v>0.15</v>
          </cell>
          <cell r="J230">
            <v>0</v>
          </cell>
          <cell r="K230">
            <v>0.15</v>
          </cell>
          <cell r="P230">
            <v>2</v>
          </cell>
        </row>
        <row r="231">
          <cell r="B231">
            <v>80</v>
          </cell>
          <cell r="C231">
            <v>1</v>
          </cell>
          <cell r="D231">
            <v>4.55</v>
          </cell>
          <cell r="E231">
            <v>1</v>
          </cell>
          <cell r="I231">
            <v>0.15</v>
          </cell>
          <cell r="J231">
            <v>0</v>
          </cell>
          <cell r="K231">
            <v>0.15</v>
          </cell>
          <cell r="P231">
            <v>2</v>
          </cell>
        </row>
        <row r="232">
          <cell r="B232">
            <v>80</v>
          </cell>
          <cell r="C232">
            <v>1</v>
          </cell>
          <cell r="D232">
            <v>4.55</v>
          </cell>
          <cell r="E232">
            <v>1</v>
          </cell>
          <cell r="I232">
            <v>0.15</v>
          </cell>
          <cell r="J232">
            <v>0</v>
          </cell>
          <cell r="K232">
            <v>0.15</v>
          </cell>
          <cell r="P232">
            <v>2</v>
          </cell>
        </row>
        <row r="233">
          <cell r="B233">
            <v>80</v>
          </cell>
          <cell r="C233">
            <v>1.25</v>
          </cell>
          <cell r="D233">
            <v>4.8499999999999996</v>
          </cell>
          <cell r="E233">
            <v>1</v>
          </cell>
          <cell r="I233">
            <v>0.13</v>
          </cell>
          <cell r="J233">
            <v>0.17</v>
          </cell>
          <cell r="K233">
            <v>0.3</v>
          </cell>
          <cell r="P233">
            <v>2</v>
          </cell>
        </row>
        <row r="234">
          <cell r="B234">
            <v>80</v>
          </cell>
          <cell r="C234">
            <v>1.25</v>
          </cell>
          <cell r="D234">
            <v>4.8499999999999996</v>
          </cell>
          <cell r="E234">
            <v>1</v>
          </cell>
          <cell r="I234">
            <v>0.13</v>
          </cell>
          <cell r="J234">
            <v>0.17</v>
          </cell>
          <cell r="K234">
            <v>0.3</v>
          </cell>
          <cell r="P234">
            <v>2</v>
          </cell>
        </row>
        <row r="235">
          <cell r="B235">
            <v>80</v>
          </cell>
          <cell r="C235">
            <v>1.25</v>
          </cell>
          <cell r="D235">
            <v>4.8499999999999996</v>
          </cell>
          <cell r="E235">
            <v>1</v>
          </cell>
          <cell r="I235">
            <v>0.13</v>
          </cell>
          <cell r="J235">
            <v>0.17</v>
          </cell>
          <cell r="K235">
            <v>0.3</v>
          </cell>
          <cell r="P235">
            <v>2</v>
          </cell>
        </row>
        <row r="236">
          <cell r="B236">
            <v>80</v>
          </cell>
          <cell r="C236">
            <v>1.5</v>
          </cell>
          <cell r="D236">
            <v>5.08</v>
          </cell>
          <cell r="E236">
            <v>1</v>
          </cell>
          <cell r="I236">
            <v>0.15</v>
          </cell>
          <cell r="J236">
            <v>0.15</v>
          </cell>
          <cell r="K236">
            <v>0.3</v>
          </cell>
          <cell r="P236">
            <v>2</v>
          </cell>
        </row>
        <row r="237">
          <cell r="B237">
            <v>80</v>
          </cell>
          <cell r="C237">
            <v>1.5</v>
          </cell>
          <cell r="D237">
            <v>5.08</v>
          </cell>
          <cell r="E237">
            <v>1</v>
          </cell>
          <cell r="I237">
            <v>0.15</v>
          </cell>
          <cell r="J237">
            <v>0.15</v>
          </cell>
          <cell r="K237">
            <v>0.3</v>
          </cell>
          <cell r="P237">
            <v>2</v>
          </cell>
        </row>
        <row r="238">
          <cell r="B238">
            <v>80</v>
          </cell>
          <cell r="C238">
            <v>1.5</v>
          </cell>
          <cell r="D238">
            <v>5.08</v>
          </cell>
          <cell r="E238">
            <v>1</v>
          </cell>
          <cell r="I238">
            <v>0.15</v>
          </cell>
          <cell r="J238">
            <v>0.15</v>
          </cell>
          <cell r="K238">
            <v>0.3</v>
          </cell>
          <cell r="P238">
            <v>2</v>
          </cell>
        </row>
        <row r="239">
          <cell r="B239">
            <v>80</v>
          </cell>
          <cell r="C239">
            <v>2</v>
          </cell>
          <cell r="D239">
            <v>5.54</v>
          </cell>
          <cell r="E239">
            <v>1</v>
          </cell>
          <cell r="I239">
            <v>0.2</v>
          </cell>
          <cell r="J239">
            <v>0.25</v>
          </cell>
          <cell r="K239">
            <v>0.45</v>
          </cell>
          <cell r="P239">
            <v>2</v>
          </cell>
        </row>
        <row r="240">
          <cell r="B240">
            <v>80</v>
          </cell>
          <cell r="C240">
            <v>2</v>
          </cell>
          <cell r="D240">
            <v>5.54</v>
          </cell>
          <cell r="E240">
            <v>1</v>
          </cell>
          <cell r="I240">
            <v>0.2</v>
          </cell>
          <cell r="J240">
            <v>0.25</v>
          </cell>
          <cell r="K240">
            <v>0.45</v>
          </cell>
          <cell r="P240">
            <v>2</v>
          </cell>
        </row>
        <row r="241">
          <cell r="B241">
            <v>80</v>
          </cell>
          <cell r="C241">
            <v>2</v>
          </cell>
          <cell r="D241">
            <v>5.54</v>
          </cell>
          <cell r="E241">
            <v>1</v>
          </cell>
          <cell r="I241">
            <v>0.2</v>
          </cell>
          <cell r="J241">
            <v>0.25</v>
          </cell>
          <cell r="K241">
            <v>0.45</v>
          </cell>
          <cell r="P241">
            <v>2</v>
          </cell>
        </row>
        <row r="242">
          <cell r="B242">
            <v>80</v>
          </cell>
          <cell r="C242">
            <v>2.5</v>
          </cell>
          <cell r="D242">
            <v>7.01</v>
          </cell>
          <cell r="E242">
            <v>1</v>
          </cell>
          <cell r="I242">
            <v>0.25</v>
          </cell>
          <cell r="J242">
            <v>0.5</v>
          </cell>
          <cell r="K242">
            <v>0.75</v>
          </cell>
          <cell r="P242">
            <v>2</v>
          </cell>
        </row>
        <row r="243">
          <cell r="B243">
            <v>80</v>
          </cell>
          <cell r="C243">
            <v>3</v>
          </cell>
          <cell r="D243">
            <v>7.62</v>
          </cell>
          <cell r="E243">
            <v>1</v>
          </cell>
          <cell r="I243">
            <v>0.3</v>
          </cell>
          <cell r="J243">
            <v>0.6</v>
          </cell>
          <cell r="K243">
            <v>0.9</v>
          </cell>
          <cell r="P243">
            <v>2</v>
          </cell>
        </row>
        <row r="244">
          <cell r="B244">
            <v>80</v>
          </cell>
          <cell r="C244">
            <v>3.5</v>
          </cell>
          <cell r="D244">
            <v>8.08</v>
          </cell>
          <cell r="E244">
            <v>1</v>
          </cell>
          <cell r="I244">
            <v>0.35</v>
          </cell>
          <cell r="J244">
            <v>0.85</v>
          </cell>
          <cell r="K244">
            <v>1.2</v>
          </cell>
          <cell r="P244">
            <v>3</v>
          </cell>
        </row>
        <row r="245">
          <cell r="B245">
            <v>80</v>
          </cell>
          <cell r="C245">
            <v>4</v>
          </cell>
          <cell r="D245">
            <v>8.56</v>
          </cell>
          <cell r="E245">
            <v>1</v>
          </cell>
          <cell r="I245">
            <v>0.41</v>
          </cell>
          <cell r="J245">
            <v>0.93</v>
          </cell>
          <cell r="K245">
            <v>1.34</v>
          </cell>
          <cell r="P245">
            <v>3</v>
          </cell>
        </row>
        <row r="246">
          <cell r="B246">
            <v>80</v>
          </cell>
          <cell r="C246">
            <v>5</v>
          </cell>
          <cell r="D246">
            <v>9.5299999999999994</v>
          </cell>
          <cell r="E246">
            <v>1</v>
          </cell>
          <cell r="I246">
            <v>0.51</v>
          </cell>
          <cell r="J246">
            <v>1.59</v>
          </cell>
          <cell r="K246">
            <v>2.1</v>
          </cell>
          <cell r="P246">
            <v>4</v>
          </cell>
        </row>
        <row r="247">
          <cell r="B247">
            <v>80</v>
          </cell>
          <cell r="C247">
            <v>6</v>
          </cell>
          <cell r="D247">
            <v>10.97</v>
          </cell>
          <cell r="E247">
            <v>1.25</v>
          </cell>
          <cell r="I247">
            <v>0.61</v>
          </cell>
          <cell r="J247">
            <v>2.69</v>
          </cell>
          <cell r="K247">
            <v>3.3</v>
          </cell>
          <cell r="P247">
            <v>4</v>
          </cell>
        </row>
        <row r="248">
          <cell r="B248">
            <v>80</v>
          </cell>
          <cell r="C248">
            <v>8</v>
          </cell>
          <cell r="D248">
            <v>12.7</v>
          </cell>
          <cell r="E248">
            <v>1.25</v>
          </cell>
          <cell r="I248">
            <v>0.81</v>
          </cell>
          <cell r="J248">
            <v>4.58</v>
          </cell>
          <cell r="K248">
            <v>5.39</v>
          </cell>
          <cell r="P248">
            <v>4</v>
          </cell>
        </row>
        <row r="249">
          <cell r="B249">
            <v>80</v>
          </cell>
          <cell r="C249">
            <v>10</v>
          </cell>
          <cell r="D249">
            <v>15.09</v>
          </cell>
          <cell r="E249">
            <v>1.5</v>
          </cell>
          <cell r="I249">
            <v>1.01</v>
          </cell>
          <cell r="J249">
            <v>7.99</v>
          </cell>
          <cell r="K249">
            <v>9</v>
          </cell>
          <cell r="P249">
            <v>4</v>
          </cell>
        </row>
        <row r="250">
          <cell r="B250">
            <v>80</v>
          </cell>
          <cell r="C250">
            <v>12</v>
          </cell>
          <cell r="D250">
            <v>17.48</v>
          </cell>
          <cell r="E250">
            <v>1.5</v>
          </cell>
          <cell r="I250">
            <v>1.22</v>
          </cell>
          <cell r="J250">
            <v>11.68</v>
          </cell>
          <cell r="K250">
            <v>12.9</v>
          </cell>
          <cell r="P250">
            <v>6</v>
          </cell>
        </row>
        <row r="251">
          <cell r="B251">
            <v>80</v>
          </cell>
          <cell r="C251">
            <v>14</v>
          </cell>
          <cell r="D251">
            <v>19.05</v>
          </cell>
          <cell r="E251">
            <v>2</v>
          </cell>
          <cell r="I251">
            <v>1.42</v>
          </cell>
          <cell r="J251">
            <v>12.68</v>
          </cell>
          <cell r="K251">
            <v>14.1</v>
          </cell>
          <cell r="P251">
            <v>6</v>
          </cell>
        </row>
        <row r="252">
          <cell r="B252">
            <v>80</v>
          </cell>
          <cell r="C252">
            <v>16</v>
          </cell>
          <cell r="D252">
            <v>21.44</v>
          </cell>
          <cell r="E252">
            <v>2</v>
          </cell>
          <cell r="I252">
            <v>1.62</v>
          </cell>
          <cell r="J252">
            <v>19.37</v>
          </cell>
          <cell r="K252">
            <v>20.99</v>
          </cell>
          <cell r="P252">
            <v>6</v>
          </cell>
        </row>
        <row r="253">
          <cell r="B253">
            <v>80</v>
          </cell>
          <cell r="C253">
            <v>18</v>
          </cell>
          <cell r="D253">
            <v>23.83</v>
          </cell>
          <cell r="E253">
            <v>2</v>
          </cell>
          <cell r="I253">
            <v>1.82</v>
          </cell>
          <cell r="J253">
            <v>26.68</v>
          </cell>
          <cell r="K253">
            <v>28.5</v>
          </cell>
          <cell r="P253">
            <v>6</v>
          </cell>
        </row>
        <row r="254">
          <cell r="B254">
            <v>80</v>
          </cell>
          <cell r="C254">
            <v>20</v>
          </cell>
          <cell r="D254">
            <v>26.19</v>
          </cell>
          <cell r="E254" t="str">
            <v>N</v>
          </cell>
          <cell r="I254">
            <v>2.0299999999999998</v>
          </cell>
          <cell r="J254">
            <v>36.96</v>
          </cell>
          <cell r="K254">
            <v>38.99</v>
          </cell>
          <cell r="P254">
            <v>7</v>
          </cell>
        </row>
        <row r="255">
          <cell r="B255">
            <v>80</v>
          </cell>
          <cell r="C255">
            <v>22</v>
          </cell>
          <cell r="D255">
            <v>28.58</v>
          </cell>
          <cell r="E255" t="str">
            <v>N</v>
          </cell>
          <cell r="I255">
            <v>2.23</v>
          </cell>
          <cell r="J255">
            <v>45.77</v>
          </cell>
          <cell r="K255">
            <v>48</v>
          </cell>
          <cell r="P255">
            <v>8</v>
          </cell>
        </row>
        <row r="256">
          <cell r="B256">
            <v>80</v>
          </cell>
          <cell r="C256">
            <v>24</v>
          </cell>
          <cell r="D256">
            <v>30.96</v>
          </cell>
          <cell r="E256" t="str">
            <v>N</v>
          </cell>
          <cell r="I256">
            <v>2.4300000000000002</v>
          </cell>
          <cell r="J256">
            <v>53.07</v>
          </cell>
          <cell r="K256">
            <v>55.5</v>
          </cell>
          <cell r="P256">
            <v>8</v>
          </cell>
        </row>
        <row r="257">
          <cell r="B257" t="str">
            <v>80S</v>
          </cell>
          <cell r="C257">
            <v>0.125</v>
          </cell>
          <cell r="D257">
            <v>2.41</v>
          </cell>
          <cell r="E257">
            <v>1</v>
          </cell>
          <cell r="I257">
            <v>7.0000000000000007E-2</v>
          </cell>
          <cell r="K257">
            <v>7.0000000000000007E-2</v>
          </cell>
          <cell r="P257">
            <v>2</v>
          </cell>
        </row>
        <row r="258">
          <cell r="B258" t="str">
            <v>80S</v>
          </cell>
          <cell r="C258">
            <v>0.125</v>
          </cell>
          <cell r="D258">
            <v>2.41</v>
          </cell>
          <cell r="E258">
            <v>1</v>
          </cell>
          <cell r="I258">
            <v>7.0000000000000007E-2</v>
          </cell>
          <cell r="K258">
            <v>7.0000000000000007E-2</v>
          </cell>
          <cell r="P258">
            <v>2</v>
          </cell>
        </row>
        <row r="259">
          <cell r="B259" t="str">
            <v>80S</v>
          </cell>
          <cell r="C259">
            <v>0.125</v>
          </cell>
          <cell r="D259">
            <v>2.41</v>
          </cell>
          <cell r="E259">
            <v>1</v>
          </cell>
          <cell r="I259">
            <v>7.0000000000000007E-2</v>
          </cell>
          <cell r="K259">
            <v>7.0000000000000007E-2</v>
          </cell>
          <cell r="P259">
            <v>2</v>
          </cell>
        </row>
        <row r="260">
          <cell r="B260" t="str">
            <v>80S</v>
          </cell>
          <cell r="C260">
            <v>0.25</v>
          </cell>
          <cell r="D260">
            <v>3.02</v>
          </cell>
          <cell r="E260">
            <v>1</v>
          </cell>
          <cell r="I260">
            <v>7.0000000000000007E-2</v>
          </cell>
          <cell r="K260">
            <v>7.0000000000000007E-2</v>
          </cell>
          <cell r="P260">
            <v>2</v>
          </cell>
        </row>
        <row r="261">
          <cell r="B261" t="str">
            <v>80S</v>
          </cell>
          <cell r="C261">
            <v>0.25</v>
          </cell>
          <cell r="D261">
            <v>3.02</v>
          </cell>
          <cell r="E261">
            <v>1</v>
          </cell>
          <cell r="I261">
            <v>7.0000000000000007E-2</v>
          </cell>
          <cell r="K261">
            <v>7.0000000000000007E-2</v>
          </cell>
          <cell r="P261">
            <v>2</v>
          </cell>
        </row>
        <row r="262">
          <cell r="B262" t="str">
            <v>80S</v>
          </cell>
          <cell r="C262">
            <v>0.25</v>
          </cell>
          <cell r="D262">
            <v>3.02</v>
          </cell>
          <cell r="E262">
            <v>1</v>
          </cell>
          <cell r="I262">
            <v>7.0000000000000007E-2</v>
          </cell>
          <cell r="K262">
            <v>7.0000000000000007E-2</v>
          </cell>
          <cell r="P262">
            <v>2</v>
          </cell>
        </row>
        <row r="263">
          <cell r="B263" t="str">
            <v>80S</v>
          </cell>
          <cell r="C263">
            <v>0.375</v>
          </cell>
          <cell r="D263">
            <v>3.2</v>
          </cell>
          <cell r="E263">
            <v>1</v>
          </cell>
          <cell r="I263">
            <v>7.0000000000000007E-2</v>
          </cell>
          <cell r="J263">
            <v>0</v>
          </cell>
          <cell r="K263">
            <v>7.0000000000000007E-2</v>
          </cell>
          <cell r="P263">
            <v>2</v>
          </cell>
        </row>
        <row r="264">
          <cell r="B264" t="str">
            <v>80S</v>
          </cell>
          <cell r="C264">
            <v>0.375</v>
          </cell>
          <cell r="D264">
            <v>3.2</v>
          </cell>
          <cell r="E264">
            <v>1</v>
          </cell>
          <cell r="I264">
            <v>7.0000000000000007E-2</v>
          </cell>
          <cell r="J264">
            <v>0</v>
          </cell>
          <cell r="K264">
            <v>7.0000000000000007E-2</v>
          </cell>
          <cell r="P264">
            <v>2</v>
          </cell>
        </row>
        <row r="265">
          <cell r="B265" t="str">
            <v>80S</v>
          </cell>
          <cell r="C265">
            <v>0.375</v>
          </cell>
          <cell r="D265">
            <v>3.2</v>
          </cell>
          <cell r="E265">
            <v>1</v>
          </cell>
          <cell r="I265">
            <v>7.0000000000000007E-2</v>
          </cell>
          <cell r="J265">
            <v>0</v>
          </cell>
          <cell r="K265">
            <v>7.0000000000000007E-2</v>
          </cell>
          <cell r="P265">
            <v>2</v>
          </cell>
        </row>
        <row r="266">
          <cell r="B266" t="str">
            <v>80S</v>
          </cell>
          <cell r="C266">
            <v>0.5</v>
          </cell>
          <cell r="D266">
            <v>3.73</v>
          </cell>
          <cell r="E266">
            <v>1</v>
          </cell>
          <cell r="I266">
            <v>7.0000000000000007E-2</v>
          </cell>
          <cell r="J266">
            <v>0</v>
          </cell>
          <cell r="K266">
            <v>7.0000000000000007E-2</v>
          </cell>
          <cell r="P266">
            <v>2</v>
          </cell>
        </row>
        <row r="267">
          <cell r="B267" t="str">
            <v>80S</v>
          </cell>
          <cell r="C267">
            <v>0.5</v>
          </cell>
          <cell r="D267">
            <v>3.73</v>
          </cell>
          <cell r="E267">
            <v>1</v>
          </cell>
          <cell r="I267">
            <v>7.0000000000000007E-2</v>
          </cell>
          <cell r="J267">
            <v>0</v>
          </cell>
          <cell r="K267">
            <v>7.0000000000000007E-2</v>
          </cell>
          <cell r="P267">
            <v>2</v>
          </cell>
        </row>
        <row r="268">
          <cell r="B268" t="str">
            <v>80S</v>
          </cell>
          <cell r="C268">
            <v>0.5</v>
          </cell>
          <cell r="D268">
            <v>3.73</v>
          </cell>
          <cell r="E268">
            <v>1</v>
          </cell>
          <cell r="I268">
            <v>7.0000000000000007E-2</v>
          </cell>
          <cell r="J268">
            <v>0</v>
          </cell>
          <cell r="K268">
            <v>7.0000000000000007E-2</v>
          </cell>
          <cell r="P268">
            <v>2</v>
          </cell>
        </row>
        <row r="269">
          <cell r="B269" t="str">
            <v>80S</v>
          </cell>
          <cell r="C269">
            <v>0.75</v>
          </cell>
          <cell r="D269">
            <v>3.91</v>
          </cell>
          <cell r="E269">
            <v>1</v>
          </cell>
          <cell r="I269">
            <v>7.0000000000000007E-2</v>
          </cell>
          <cell r="J269">
            <v>0</v>
          </cell>
          <cell r="K269">
            <v>7.0000000000000007E-2</v>
          </cell>
          <cell r="P269">
            <v>2</v>
          </cell>
        </row>
        <row r="270">
          <cell r="B270" t="str">
            <v>80S</v>
          </cell>
          <cell r="C270">
            <v>0.75</v>
          </cell>
          <cell r="D270">
            <v>3.91</v>
          </cell>
          <cell r="E270">
            <v>1</v>
          </cell>
          <cell r="I270">
            <v>7.0000000000000007E-2</v>
          </cell>
          <cell r="J270">
            <v>0</v>
          </cell>
          <cell r="K270">
            <v>7.0000000000000007E-2</v>
          </cell>
          <cell r="P270">
            <v>2</v>
          </cell>
        </row>
        <row r="271">
          <cell r="B271" t="str">
            <v>80S</v>
          </cell>
          <cell r="C271">
            <v>0.75</v>
          </cell>
          <cell r="D271">
            <v>3.91</v>
          </cell>
          <cell r="E271">
            <v>1</v>
          </cell>
          <cell r="I271">
            <v>7.0000000000000007E-2</v>
          </cell>
          <cell r="J271">
            <v>0</v>
          </cell>
          <cell r="K271">
            <v>7.0000000000000007E-2</v>
          </cell>
          <cell r="P271">
            <v>2</v>
          </cell>
        </row>
        <row r="272">
          <cell r="B272" t="str">
            <v>80S</v>
          </cell>
          <cell r="C272">
            <v>1</v>
          </cell>
          <cell r="D272">
            <v>4.55</v>
          </cell>
          <cell r="E272">
            <v>1</v>
          </cell>
          <cell r="I272">
            <v>0.15</v>
          </cell>
          <cell r="J272">
            <v>0</v>
          </cell>
          <cell r="K272">
            <v>0.15</v>
          </cell>
          <cell r="P272">
            <v>2</v>
          </cell>
        </row>
        <row r="273">
          <cell r="B273" t="str">
            <v>80S</v>
          </cell>
          <cell r="C273">
            <v>1</v>
          </cell>
          <cell r="D273">
            <v>4.55</v>
          </cell>
          <cell r="E273">
            <v>1</v>
          </cell>
          <cell r="I273">
            <v>0.15</v>
          </cell>
          <cell r="J273">
            <v>0</v>
          </cell>
          <cell r="K273">
            <v>0.15</v>
          </cell>
          <cell r="P273">
            <v>2</v>
          </cell>
        </row>
        <row r="274">
          <cell r="B274" t="str">
            <v>80S</v>
          </cell>
          <cell r="C274">
            <v>1</v>
          </cell>
          <cell r="D274">
            <v>4.55</v>
          </cell>
          <cell r="E274">
            <v>1</v>
          </cell>
          <cell r="I274">
            <v>0.15</v>
          </cell>
          <cell r="J274">
            <v>0</v>
          </cell>
          <cell r="K274">
            <v>0.15</v>
          </cell>
          <cell r="P274">
            <v>2</v>
          </cell>
        </row>
        <row r="275">
          <cell r="B275" t="str">
            <v>80S</v>
          </cell>
          <cell r="C275">
            <v>1.25</v>
          </cell>
          <cell r="D275">
            <v>4.8499999999999996</v>
          </cell>
          <cell r="E275">
            <v>1</v>
          </cell>
          <cell r="I275">
            <v>0.13</v>
          </cell>
          <cell r="J275">
            <v>0.17</v>
          </cell>
          <cell r="K275">
            <v>0.3</v>
          </cell>
          <cell r="P275">
            <v>2</v>
          </cell>
        </row>
        <row r="276">
          <cell r="B276" t="str">
            <v>80S</v>
          </cell>
          <cell r="C276">
            <v>1.25</v>
          </cell>
          <cell r="D276">
            <v>4.8499999999999996</v>
          </cell>
          <cell r="E276">
            <v>1</v>
          </cell>
          <cell r="I276">
            <v>0.13</v>
          </cell>
          <cell r="J276">
            <v>0.17</v>
          </cell>
          <cell r="K276">
            <v>0.3</v>
          </cell>
          <cell r="P276">
            <v>2</v>
          </cell>
        </row>
        <row r="277">
          <cell r="B277" t="str">
            <v>80S</v>
          </cell>
          <cell r="C277">
            <v>1.25</v>
          </cell>
          <cell r="D277">
            <v>4.8499999999999996</v>
          </cell>
          <cell r="E277">
            <v>1</v>
          </cell>
          <cell r="I277">
            <v>0.13</v>
          </cell>
          <cell r="J277">
            <v>0.17</v>
          </cell>
          <cell r="K277">
            <v>0.3</v>
          </cell>
          <cell r="P277">
            <v>2</v>
          </cell>
        </row>
        <row r="278">
          <cell r="B278" t="str">
            <v>80S</v>
          </cell>
          <cell r="C278">
            <v>1.5</v>
          </cell>
          <cell r="D278">
            <v>5.08</v>
          </cell>
          <cell r="E278">
            <v>1</v>
          </cell>
          <cell r="I278">
            <v>0.15</v>
          </cell>
          <cell r="J278">
            <v>0.15</v>
          </cell>
          <cell r="K278">
            <v>0.3</v>
          </cell>
          <cell r="P278">
            <v>2</v>
          </cell>
        </row>
        <row r="279">
          <cell r="B279" t="str">
            <v>80S</v>
          </cell>
          <cell r="C279">
            <v>1.5</v>
          </cell>
          <cell r="D279">
            <v>5.08</v>
          </cell>
          <cell r="E279">
            <v>1</v>
          </cell>
          <cell r="I279">
            <v>0.15</v>
          </cell>
          <cell r="J279">
            <v>0.15</v>
          </cell>
          <cell r="K279">
            <v>0.3</v>
          </cell>
          <cell r="P279">
            <v>2</v>
          </cell>
        </row>
        <row r="280">
          <cell r="B280" t="str">
            <v>80S</v>
          </cell>
          <cell r="C280">
            <v>1.5</v>
          </cell>
          <cell r="D280">
            <v>5.08</v>
          </cell>
          <cell r="E280">
            <v>1</v>
          </cell>
          <cell r="I280">
            <v>0.15</v>
          </cell>
          <cell r="J280">
            <v>0.15</v>
          </cell>
          <cell r="K280">
            <v>0.3</v>
          </cell>
          <cell r="P280">
            <v>2</v>
          </cell>
        </row>
        <row r="281">
          <cell r="B281" t="str">
            <v>80S</v>
          </cell>
          <cell r="C281">
            <v>2</v>
          </cell>
          <cell r="D281">
            <v>5.54</v>
          </cell>
          <cell r="E281">
            <v>1</v>
          </cell>
          <cell r="I281">
            <v>0.2</v>
          </cell>
          <cell r="J281">
            <v>0.25</v>
          </cell>
          <cell r="K281">
            <v>0.45</v>
          </cell>
          <cell r="P281">
            <v>2</v>
          </cell>
        </row>
        <row r="282">
          <cell r="B282" t="str">
            <v>80S</v>
          </cell>
          <cell r="C282">
            <v>2</v>
          </cell>
          <cell r="D282">
            <v>5.54</v>
          </cell>
          <cell r="E282">
            <v>1</v>
          </cell>
          <cell r="I282">
            <v>0.2</v>
          </cell>
          <cell r="J282">
            <v>0.25</v>
          </cell>
          <cell r="K282">
            <v>0.45</v>
          </cell>
          <cell r="P282">
            <v>2</v>
          </cell>
        </row>
        <row r="283">
          <cell r="B283" t="str">
            <v>80S</v>
          </cell>
          <cell r="C283">
            <v>2</v>
          </cell>
          <cell r="D283">
            <v>5.54</v>
          </cell>
          <cell r="E283">
            <v>1</v>
          </cell>
          <cell r="I283">
            <v>0.2</v>
          </cell>
          <cell r="J283">
            <v>0.25</v>
          </cell>
          <cell r="K283">
            <v>0.45</v>
          </cell>
          <cell r="P283">
            <v>2</v>
          </cell>
        </row>
        <row r="284">
          <cell r="B284" t="str">
            <v>80S</v>
          </cell>
          <cell r="C284">
            <v>2.5</v>
          </cell>
          <cell r="D284">
            <v>7.01</v>
          </cell>
          <cell r="E284">
            <v>1</v>
          </cell>
          <cell r="I284">
            <v>0.25</v>
          </cell>
          <cell r="J284">
            <v>0.5</v>
          </cell>
          <cell r="K284">
            <v>0.75</v>
          </cell>
          <cell r="P284">
            <v>2</v>
          </cell>
        </row>
        <row r="285">
          <cell r="B285" t="str">
            <v>80S</v>
          </cell>
          <cell r="C285">
            <v>3</v>
          </cell>
          <cell r="D285">
            <v>7.62</v>
          </cell>
          <cell r="E285">
            <v>1</v>
          </cell>
          <cell r="I285">
            <v>0.3</v>
          </cell>
          <cell r="J285">
            <v>0.6</v>
          </cell>
          <cell r="K285">
            <v>0.9</v>
          </cell>
          <cell r="P285">
            <v>2</v>
          </cell>
        </row>
        <row r="286">
          <cell r="B286" t="str">
            <v>80S</v>
          </cell>
          <cell r="C286">
            <v>3.5</v>
          </cell>
          <cell r="D286">
            <v>8.08</v>
          </cell>
          <cell r="E286">
            <v>1</v>
          </cell>
          <cell r="I286">
            <v>0.35</v>
          </cell>
          <cell r="J286">
            <v>0.85</v>
          </cell>
          <cell r="K286">
            <v>1.2</v>
          </cell>
          <cell r="P286">
            <v>3</v>
          </cell>
        </row>
        <row r="287">
          <cell r="B287" t="str">
            <v>80S</v>
          </cell>
          <cell r="C287">
            <v>4</v>
          </cell>
          <cell r="D287">
            <v>8.56</v>
          </cell>
          <cell r="E287">
            <v>1</v>
          </cell>
          <cell r="I287">
            <v>0.41</v>
          </cell>
          <cell r="J287">
            <v>0.93</v>
          </cell>
          <cell r="K287">
            <v>1.34</v>
          </cell>
          <cell r="P287">
            <v>3</v>
          </cell>
        </row>
        <row r="288">
          <cell r="B288" t="str">
            <v>80S</v>
          </cell>
          <cell r="C288">
            <v>5</v>
          </cell>
          <cell r="D288">
            <v>9.5299999999999994</v>
          </cell>
          <cell r="E288">
            <v>1</v>
          </cell>
          <cell r="I288">
            <v>0.51</v>
          </cell>
          <cell r="J288">
            <v>1.59</v>
          </cell>
          <cell r="K288">
            <v>2.1</v>
          </cell>
          <cell r="P288">
            <v>4</v>
          </cell>
        </row>
        <row r="289">
          <cell r="B289" t="str">
            <v>80S</v>
          </cell>
          <cell r="C289">
            <v>6</v>
          </cell>
          <cell r="D289">
            <v>10.97</v>
          </cell>
          <cell r="E289">
            <v>1.25</v>
          </cell>
          <cell r="I289">
            <v>0.61</v>
          </cell>
          <cell r="J289">
            <v>2.69</v>
          </cell>
          <cell r="K289">
            <v>3.3</v>
          </cell>
          <cell r="P289">
            <v>4</v>
          </cell>
        </row>
        <row r="290">
          <cell r="B290" t="str">
            <v>80S</v>
          </cell>
          <cell r="C290">
            <v>8</v>
          </cell>
          <cell r="D290">
            <v>12.7</v>
          </cell>
          <cell r="E290">
            <v>1.25</v>
          </cell>
          <cell r="I290">
            <v>0.81</v>
          </cell>
          <cell r="J290">
            <v>4.58</v>
          </cell>
          <cell r="K290">
            <v>5.39</v>
          </cell>
          <cell r="P290">
            <v>4</v>
          </cell>
        </row>
        <row r="291">
          <cell r="B291" t="str">
            <v>80S</v>
          </cell>
          <cell r="C291">
            <v>10</v>
          </cell>
          <cell r="D291">
            <v>12.7</v>
          </cell>
          <cell r="E291">
            <v>1.25</v>
          </cell>
          <cell r="I291">
            <v>1.01</v>
          </cell>
          <cell r="J291">
            <v>5.74</v>
          </cell>
          <cell r="K291">
            <v>6.75</v>
          </cell>
          <cell r="P291">
            <v>4</v>
          </cell>
        </row>
        <row r="292">
          <cell r="B292" t="str">
            <v>80S</v>
          </cell>
          <cell r="C292">
            <v>12</v>
          </cell>
          <cell r="D292">
            <v>12.7</v>
          </cell>
          <cell r="E292">
            <v>1.25</v>
          </cell>
          <cell r="I292">
            <v>1.22</v>
          </cell>
          <cell r="J292">
            <v>6.73</v>
          </cell>
          <cell r="K292">
            <v>7.95</v>
          </cell>
          <cell r="P292">
            <v>6</v>
          </cell>
        </row>
        <row r="293">
          <cell r="B293">
            <v>100</v>
          </cell>
          <cell r="C293">
            <v>8</v>
          </cell>
          <cell r="D293">
            <v>15.09</v>
          </cell>
          <cell r="E293">
            <v>1.5</v>
          </cell>
          <cell r="I293">
            <v>0.81</v>
          </cell>
          <cell r="J293">
            <v>6.09</v>
          </cell>
          <cell r="K293">
            <v>6.9</v>
          </cell>
          <cell r="P293">
            <v>4</v>
          </cell>
        </row>
        <row r="294">
          <cell r="B294">
            <v>100</v>
          </cell>
          <cell r="C294">
            <v>10</v>
          </cell>
          <cell r="D294">
            <v>18.260000000000002</v>
          </cell>
          <cell r="E294">
            <v>1.5</v>
          </cell>
          <cell r="I294">
            <v>1.01</v>
          </cell>
          <cell r="J294">
            <v>11.44</v>
          </cell>
          <cell r="K294">
            <v>12.45</v>
          </cell>
          <cell r="P294">
            <v>4</v>
          </cell>
        </row>
        <row r="295">
          <cell r="B295">
            <v>100</v>
          </cell>
          <cell r="C295">
            <v>12</v>
          </cell>
          <cell r="D295">
            <v>21.44</v>
          </cell>
          <cell r="E295">
            <v>2</v>
          </cell>
          <cell r="I295">
            <v>1.22</v>
          </cell>
          <cell r="J295">
            <v>15.28</v>
          </cell>
          <cell r="K295">
            <v>16.5</v>
          </cell>
          <cell r="P295">
            <v>6</v>
          </cell>
        </row>
        <row r="296">
          <cell r="B296">
            <v>100</v>
          </cell>
          <cell r="C296">
            <v>14</v>
          </cell>
          <cell r="D296">
            <v>23.83</v>
          </cell>
          <cell r="E296">
            <v>2</v>
          </cell>
          <cell r="I296">
            <v>1.42</v>
          </cell>
          <cell r="J296">
            <v>21.07</v>
          </cell>
          <cell r="K296">
            <v>22.49</v>
          </cell>
          <cell r="P296">
            <v>6</v>
          </cell>
        </row>
        <row r="297">
          <cell r="B297">
            <v>100</v>
          </cell>
          <cell r="C297">
            <v>16</v>
          </cell>
          <cell r="D297">
            <v>26.19</v>
          </cell>
          <cell r="E297" t="str">
            <v>N</v>
          </cell>
          <cell r="I297">
            <v>1.62</v>
          </cell>
          <cell r="J297">
            <v>28.38</v>
          </cell>
          <cell r="K297">
            <v>30</v>
          </cell>
          <cell r="P297">
            <v>6</v>
          </cell>
        </row>
        <row r="298">
          <cell r="B298">
            <v>100</v>
          </cell>
          <cell r="C298">
            <v>18</v>
          </cell>
          <cell r="D298">
            <v>29.36</v>
          </cell>
          <cell r="E298" t="str">
            <v>N</v>
          </cell>
          <cell r="I298">
            <v>1.82</v>
          </cell>
          <cell r="J298">
            <v>37.17</v>
          </cell>
          <cell r="K298">
            <v>38.99</v>
          </cell>
          <cell r="P298">
            <v>6</v>
          </cell>
        </row>
        <row r="299">
          <cell r="B299">
            <v>100</v>
          </cell>
          <cell r="C299">
            <v>20</v>
          </cell>
          <cell r="D299">
            <v>32.54</v>
          </cell>
          <cell r="E299" t="str">
            <v>N</v>
          </cell>
          <cell r="I299">
            <v>2.0299999999999998</v>
          </cell>
          <cell r="J299">
            <v>45.97</v>
          </cell>
          <cell r="K299">
            <v>48</v>
          </cell>
          <cell r="P299">
            <v>7</v>
          </cell>
        </row>
        <row r="300">
          <cell r="B300">
            <v>100</v>
          </cell>
          <cell r="C300">
            <v>22</v>
          </cell>
          <cell r="D300">
            <v>34.93</v>
          </cell>
          <cell r="E300" t="str">
            <v>N</v>
          </cell>
          <cell r="I300">
            <v>2.23</v>
          </cell>
          <cell r="J300">
            <v>65.27</v>
          </cell>
          <cell r="K300">
            <v>67.5</v>
          </cell>
          <cell r="P300">
            <v>8</v>
          </cell>
        </row>
        <row r="301">
          <cell r="B301">
            <v>100</v>
          </cell>
          <cell r="C301">
            <v>24</v>
          </cell>
          <cell r="D301">
            <v>38.89</v>
          </cell>
          <cell r="E301" t="str">
            <v>N</v>
          </cell>
          <cell r="I301">
            <v>2.4300000000000002</v>
          </cell>
          <cell r="J301">
            <v>75.56</v>
          </cell>
          <cell r="K301">
            <v>77.989999999999995</v>
          </cell>
          <cell r="P301">
            <v>8</v>
          </cell>
        </row>
        <row r="302">
          <cell r="B302">
            <v>120</v>
          </cell>
          <cell r="C302">
            <v>4</v>
          </cell>
          <cell r="D302">
            <v>11.13</v>
          </cell>
          <cell r="E302">
            <v>1.25</v>
          </cell>
          <cell r="I302">
            <v>0.41</v>
          </cell>
          <cell r="J302">
            <v>1.84</v>
          </cell>
          <cell r="K302">
            <v>2.25</v>
          </cell>
          <cell r="P302">
            <v>4</v>
          </cell>
        </row>
        <row r="303">
          <cell r="B303">
            <v>120</v>
          </cell>
          <cell r="C303">
            <v>5</v>
          </cell>
          <cell r="D303">
            <v>12.7</v>
          </cell>
          <cell r="E303">
            <v>1.25</v>
          </cell>
          <cell r="I303">
            <v>0.51</v>
          </cell>
          <cell r="J303">
            <v>2.94</v>
          </cell>
          <cell r="K303">
            <v>3.45</v>
          </cell>
          <cell r="P303">
            <v>4</v>
          </cell>
        </row>
        <row r="304">
          <cell r="B304">
            <v>120</v>
          </cell>
          <cell r="C304">
            <v>6</v>
          </cell>
          <cell r="D304">
            <v>14.27</v>
          </cell>
          <cell r="E304">
            <v>1.25</v>
          </cell>
          <cell r="I304">
            <v>0.61</v>
          </cell>
          <cell r="J304">
            <v>4.1900000000000004</v>
          </cell>
          <cell r="K304">
            <v>4.8</v>
          </cell>
          <cell r="P304">
            <v>4</v>
          </cell>
        </row>
        <row r="305">
          <cell r="B305">
            <v>120</v>
          </cell>
          <cell r="C305">
            <v>8</v>
          </cell>
          <cell r="D305">
            <v>18.260000000000002</v>
          </cell>
          <cell r="E305">
            <v>1.5</v>
          </cell>
          <cell r="I305">
            <v>0.81</v>
          </cell>
          <cell r="J305">
            <v>9.23</v>
          </cell>
          <cell r="K305">
            <v>10.039999999999999</v>
          </cell>
          <cell r="P305">
            <v>4</v>
          </cell>
        </row>
        <row r="306">
          <cell r="B306">
            <v>120</v>
          </cell>
          <cell r="C306">
            <v>10</v>
          </cell>
          <cell r="D306">
            <v>21.44</v>
          </cell>
          <cell r="E306">
            <v>2</v>
          </cell>
          <cell r="I306">
            <v>1.01</v>
          </cell>
          <cell r="J306">
            <v>12.49</v>
          </cell>
          <cell r="K306">
            <v>13.5</v>
          </cell>
          <cell r="P306">
            <v>4</v>
          </cell>
        </row>
        <row r="307">
          <cell r="B307">
            <v>120</v>
          </cell>
          <cell r="C307">
            <v>12</v>
          </cell>
          <cell r="D307">
            <v>25.4</v>
          </cell>
          <cell r="E307" t="str">
            <v>N</v>
          </cell>
          <cell r="I307">
            <v>1.22</v>
          </cell>
          <cell r="J307">
            <v>21.27</v>
          </cell>
          <cell r="K307">
            <v>22.49</v>
          </cell>
          <cell r="P307">
            <v>6</v>
          </cell>
        </row>
        <row r="308">
          <cell r="B308">
            <v>120</v>
          </cell>
          <cell r="C308">
            <v>14</v>
          </cell>
          <cell r="D308">
            <v>27.79</v>
          </cell>
          <cell r="E308" t="str">
            <v>N</v>
          </cell>
          <cell r="I308">
            <v>1.42</v>
          </cell>
          <cell r="J308">
            <v>25.58</v>
          </cell>
          <cell r="K308">
            <v>27</v>
          </cell>
          <cell r="P308">
            <v>6</v>
          </cell>
        </row>
        <row r="309">
          <cell r="B309">
            <v>120</v>
          </cell>
          <cell r="C309">
            <v>16</v>
          </cell>
          <cell r="D309">
            <v>30.96</v>
          </cell>
          <cell r="E309" t="str">
            <v>N</v>
          </cell>
          <cell r="I309">
            <v>1.62</v>
          </cell>
          <cell r="J309">
            <v>35.880000000000003</v>
          </cell>
          <cell r="K309">
            <v>37.5</v>
          </cell>
          <cell r="P309">
            <v>6</v>
          </cell>
        </row>
        <row r="310">
          <cell r="B310">
            <v>120</v>
          </cell>
          <cell r="C310">
            <v>18</v>
          </cell>
          <cell r="D310">
            <v>34.93</v>
          </cell>
          <cell r="E310" t="str">
            <v>N</v>
          </cell>
          <cell r="I310">
            <v>1.82</v>
          </cell>
          <cell r="J310">
            <v>47.68</v>
          </cell>
          <cell r="K310">
            <v>49.5</v>
          </cell>
          <cell r="P310">
            <v>6</v>
          </cell>
        </row>
        <row r="311">
          <cell r="B311">
            <v>120</v>
          </cell>
          <cell r="C311">
            <v>20</v>
          </cell>
          <cell r="D311">
            <v>38.1</v>
          </cell>
          <cell r="E311" t="str">
            <v>N</v>
          </cell>
          <cell r="I311">
            <v>2.0299999999999998</v>
          </cell>
          <cell r="J311">
            <v>62.47</v>
          </cell>
          <cell r="K311">
            <v>64.5</v>
          </cell>
          <cell r="P311">
            <v>7</v>
          </cell>
        </row>
        <row r="312">
          <cell r="B312">
            <v>120</v>
          </cell>
          <cell r="C312">
            <v>22</v>
          </cell>
          <cell r="D312">
            <v>41.28</v>
          </cell>
          <cell r="E312" t="str">
            <v>N</v>
          </cell>
          <cell r="I312">
            <v>2.23</v>
          </cell>
          <cell r="J312">
            <v>84.76</v>
          </cell>
          <cell r="K312">
            <v>86.99</v>
          </cell>
          <cell r="P312">
            <v>8</v>
          </cell>
        </row>
        <row r="313">
          <cell r="B313">
            <v>120</v>
          </cell>
          <cell r="C313">
            <v>24</v>
          </cell>
          <cell r="D313">
            <v>46.02</v>
          </cell>
          <cell r="E313" t="str">
            <v>N</v>
          </cell>
          <cell r="I313">
            <v>2.4300000000000002</v>
          </cell>
          <cell r="J313">
            <v>98.07</v>
          </cell>
          <cell r="K313">
            <v>100.5</v>
          </cell>
          <cell r="P313">
            <v>8</v>
          </cell>
        </row>
        <row r="314">
          <cell r="B314">
            <v>140</v>
          </cell>
          <cell r="C314">
            <v>8</v>
          </cell>
          <cell r="D314">
            <v>20.62</v>
          </cell>
          <cell r="E314">
            <v>2</v>
          </cell>
          <cell r="I314">
            <v>0.81</v>
          </cell>
          <cell r="J314">
            <v>10.130000000000001</v>
          </cell>
          <cell r="K314">
            <v>10.94</v>
          </cell>
          <cell r="P314">
            <v>4</v>
          </cell>
        </row>
        <row r="315">
          <cell r="B315">
            <v>140</v>
          </cell>
          <cell r="C315">
            <v>10</v>
          </cell>
          <cell r="D315">
            <v>25.4</v>
          </cell>
          <cell r="E315" t="str">
            <v>N</v>
          </cell>
          <cell r="I315">
            <v>1.01</v>
          </cell>
          <cell r="J315">
            <v>18.48</v>
          </cell>
          <cell r="K315">
            <v>19.489999999999998</v>
          </cell>
          <cell r="P315">
            <v>4</v>
          </cell>
        </row>
        <row r="316">
          <cell r="B316">
            <v>140</v>
          </cell>
          <cell r="C316">
            <v>12</v>
          </cell>
          <cell r="D316">
            <v>28.58</v>
          </cell>
          <cell r="E316" t="str">
            <v>N</v>
          </cell>
          <cell r="I316">
            <v>1.22</v>
          </cell>
          <cell r="J316">
            <v>25.78</v>
          </cell>
          <cell r="K316">
            <v>27</v>
          </cell>
          <cell r="P316">
            <v>6</v>
          </cell>
        </row>
        <row r="317">
          <cell r="B317">
            <v>140</v>
          </cell>
          <cell r="C317">
            <v>14</v>
          </cell>
          <cell r="D317">
            <v>31.75</v>
          </cell>
          <cell r="E317" t="str">
            <v>N</v>
          </cell>
          <cell r="I317">
            <v>1.42</v>
          </cell>
          <cell r="J317">
            <v>31.58</v>
          </cell>
          <cell r="K317">
            <v>33</v>
          </cell>
          <cell r="P317">
            <v>6</v>
          </cell>
        </row>
        <row r="318">
          <cell r="B318">
            <v>140</v>
          </cell>
          <cell r="C318">
            <v>16</v>
          </cell>
          <cell r="D318">
            <v>36.53</v>
          </cell>
          <cell r="E318" t="str">
            <v>N</v>
          </cell>
          <cell r="I318">
            <v>1.62</v>
          </cell>
          <cell r="J318">
            <v>44.87</v>
          </cell>
          <cell r="K318">
            <v>46.49</v>
          </cell>
          <cell r="P318">
            <v>6</v>
          </cell>
        </row>
        <row r="319">
          <cell r="B319">
            <v>140</v>
          </cell>
          <cell r="C319">
            <v>18</v>
          </cell>
          <cell r="D319">
            <v>39.67</v>
          </cell>
          <cell r="E319" t="str">
            <v>N</v>
          </cell>
          <cell r="I319">
            <v>1.82</v>
          </cell>
          <cell r="J319">
            <v>59.68</v>
          </cell>
          <cell r="K319">
            <v>61.5</v>
          </cell>
          <cell r="P319">
            <v>6</v>
          </cell>
        </row>
        <row r="320">
          <cell r="B320">
            <v>140</v>
          </cell>
          <cell r="C320">
            <v>20</v>
          </cell>
          <cell r="D320">
            <v>44.45</v>
          </cell>
          <cell r="E320" t="str">
            <v>N</v>
          </cell>
          <cell r="I320">
            <v>2.0299999999999998</v>
          </cell>
          <cell r="J320">
            <v>78.959999999999994</v>
          </cell>
          <cell r="K320">
            <v>80.989999999999995</v>
          </cell>
          <cell r="P320">
            <v>7</v>
          </cell>
        </row>
        <row r="321">
          <cell r="B321">
            <v>140</v>
          </cell>
          <cell r="C321">
            <v>22</v>
          </cell>
          <cell r="D321">
            <v>47.63</v>
          </cell>
          <cell r="E321" t="str">
            <v>N</v>
          </cell>
          <cell r="I321">
            <v>2.23</v>
          </cell>
          <cell r="J321">
            <v>108.77</v>
          </cell>
          <cell r="K321">
            <v>111</v>
          </cell>
          <cell r="P321">
            <v>8</v>
          </cell>
        </row>
        <row r="322">
          <cell r="B322">
            <v>140</v>
          </cell>
          <cell r="C322">
            <v>24</v>
          </cell>
          <cell r="D322">
            <v>52.37</v>
          </cell>
          <cell r="E322" t="str">
            <v>N</v>
          </cell>
          <cell r="I322">
            <v>2.4300000000000002</v>
          </cell>
          <cell r="J322">
            <v>126.57</v>
          </cell>
          <cell r="K322">
            <v>129</v>
          </cell>
          <cell r="P322">
            <v>8</v>
          </cell>
        </row>
        <row r="323">
          <cell r="B323">
            <v>160</v>
          </cell>
          <cell r="C323">
            <v>0.5</v>
          </cell>
          <cell r="D323">
            <v>4.78</v>
          </cell>
          <cell r="E323">
            <v>1</v>
          </cell>
          <cell r="I323">
            <v>7.0000000000000007E-2</v>
          </cell>
          <cell r="J323">
            <v>0.08</v>
          </cell>
          <cell r="K323">
            <v>0.15</v>
          </cell>
          <cell r="P323">
            <v>2</v>
          </cell>
        </row>
        <row r="324">
          <cell r="B324">
            <v>160</v>
          </cell>
          <cell r="C324">
            <v>0.5</v>
          </cell>
          <cell r="D324">
            <v>4.78</v>
          </cell>
          <cell r="E324">
            <v>1</v>
          </cell>
          <cell r="I324">
            <v>7.0000000000000007E-2</v>
          </cell>
          <cell r="J324">
            <v>0.08</v>
          </cell>
          <cell r="K324">
            <v>0.15</v>
          </cell>
          <cell r="P324">
            <v>2</v>
          </cell>
        </row>
        <row r="325">
          <cell r="B325">
            <v>160</v>
          </cell>
          <cell r="C325">
            <v>0.5</v>
          </cell>
          <cell r="D325">
            <v>4.78</v>
          </cell>
          <cell r="E325">
            <v>1</v>
          </cell>
          <cell r="I325">
            <v>7.0000000000000007E-2</v>
          </cell>
          <cell r="J325">
            <v>0.08</v>
          </cell>
          <cell r="K325">
            <v>0.15</v>
          </cell>
          <cell r="P325">
            <v>2</v>
          </cell>
        </row>
        <row r="326">
          <cell r="B326">
            <v>160</v>
          </cell>
          <cell r="C326">
            <v>0.75</v>
          </cell>
          <cell r="D326">
            <v>5.56</v>
          </cell>
          <cell r="E326">
            <v>1</v>
          </cell>
          <cell r="I326">
            <v>0.08</v>
          </cell>
          <cell r="J326">
            <v>7.0000000000000007E-2</v>
          </cell>
          <cell r="K326">
            <v>0.15</v>
          </cell>
          <cell r="P326">
            <v>2</v>
          </cell>
        </row>
        <row r="327">
          <cell r="B327">
            <v>160</v>
          </cell>
          <cell r="C327">
            <v>0.75</v>
          </cell>
          <cell r="D327">
            <v>5.56</v>
          </cell>
          <cell r="E327">
            <v>1</v>
          </cell>
          <cell r="I327">
            <v>0.08</v>
          </cell>
          <cell r="J327">
            <v>7.0000000000000007E-2</v>
          </cell>
          <cell r="K327">
            <v>0.15</v>
          </cell>
          <cell r="P327">
            <v>2</v>
          </cell>
        </row>
        <row r="328">
          <cell r="B328">
            <v>160</v>
          </cell>
          <cell r="C328">
            <v>0.75</v>
          </cell>
          <cell r="D328">
            <v>5.56</v>
          </cell>
          <cell r="E328">
            <v>1</v>
          </cell>
          <cell r="I328">
            <v>0.08</v>
          </cell>
          <cell r="J328">
            <v>7.0000000000000007E-2</v>
          </cell>
          <cell r="K328">
            <v>0.15</v>
          </cell>
          <cell r="P328">
            <v>2</v>
          </cell>
        </row>
        <row r="329">
          <cell r="B329">
            <v>160</v>
          </cell>
          <cell r="C329">
            <v>1</v>
          </cell>
          <cell r="D329">
            <v>6.35</v>
          </cell>
          <cell r="E329">
            <v>1</v>
          </cell>
          <cell r="I329">
            <v>0.1</v>
          </cell>
          <cell r="J329">
            <v>0.35</v>
          </cell>
          <cell r="K329">
            <v>0.45</v>
          </cell>
          <cell r="P329">
            <v>2</v>
          </cell>
        </row>
        <row r="330">
          <cell r="B330">
            <v>160</v>
          </cell>
          <cell r="C330">
            <v>1</v>
          </cell>
          <cell r="D330">
            <v>6.35</v>
          </cell>
          <cell r="E330">
            <v>1</v>
          </cell>
          <cell r="I330">
            <v>0.1</v>
          </cell>
          <cell r="J330">
            <v>0.35</v>
          </cell>
          <cell r="K330">
            <v>0.45</v>
          </cell>
          <cell r="P330">
            <v>2</v>
          </cell>
        </row>
        <row r="331">
          <cell r="B331">
            <v>160</v>
          </cell>
          <cell r="C331">
            <v>1</v>
          </cell>
          <cell r="D331">
            <v>6.35</v>
          </cell>
          <cell r="E331">
            <v>1</v>
          </cell>
          <cell r="I331">
            <v>0.1</v>
          </cell>
          <cell r="J331">
            <v>0.35</v>
          </cell>
          <cell r="K331">
            <v>0.45</v>
          </cell>
          <cell r="P331">
            <v>2</v>
          </cell>
        </row>
        <row r="332">
          <cell r="B332">
            <v>160</v>
          </cell>
          <cell r="C332">
            <v>1.25</v>
          </cell>
          <cell r="D332">
            <v>6.35</v>
          </cell>
          <cell r="E332">
            <v>1</v>
          </cell>
          <cell r="I332">
            <v>0.13</v>
          </cell>
          <cell r="J332">
            <v>0.32</v>
          </cell>
          <cell r="K332">
            <v>0.45</v>
          </cell>
          <cell r="P332">
            <v>2</v>
          </cell>
        </row>
        <row r="333">
          <cell r="B333">
            <v>160</v>
          </cell>
          <cell r="C333">
            <v>1.25</v>
          </cell>
          <cell r="D333">
            <v>6.35</v>
          </cell>
          <cell r="E333">
            <v>1</v>
          </cell>
          <cell r="I333">
            <v>0.13</v>
          </cell>
          <cell r="J333">
            <v>0.32</v>
          </cell>
          <cell r="K333">
            <v>0.45</v>
          </cell>
          <cell r="P333">
            <v>2</v>
          </cell>
        </row>
        <row r="334">
          <cell r="B334">
            <v>160</v>
          </cell>
          <cell r="C334">
            <v>1.25</v>
          </cell>
          <cell r="D334">
            <v>6.35</v>
          </cell>
          <cell r="E334">
            <v>1</v>
          </cell>
          <cell r="I334">
            <v>0.13</v>
          </cell>
          <cell r="J334">
            <v>0.32</v>
          </cell>
          <cell r="K334">
            <v>0.45</v>
          </cell>
          <cell r="P334">
            <v>2</v>
          </cell>
        </row>
        <row r="335">
          <cell r="B335">
            <v>160</v>
          </cell>
          <cell r="C335">
            <v>1.5</v>
          </cell>
          <cell r="D335">
            <v>7.14</v>
          </cell>
          <cell r="E335">
            <v>1</v>
          </cell>
          <cell r="I335">
            <v>0.15</v>
          </cell>
          <cell r="J335">
            <v>0.45</v>
          </cell>
          <cell r="K335">
            <v>0.6</v>
          </cell>
          <cell r="P335">
            <v>2</v>
          </cell>
        </row>
        <row r="336">
          <cell r="B336">
            <v>160</v>
          </cell>
          <cell r="C336">
            <v>1.5</v>
          </cell>
          <cell r="D336">
            <v>7.14</v>
          </cell>
          <cell r="E336">
            <v>1</v>
          </cell>
          <cell r="I336">
            <v>0.15</v>
          </cell>
          <cell r="J336">
            <v>0.45</v>
          </cell>
          <cell r="K336">
            <v>0.6</v>
          </cell>
          <cell r="P336">
            <v>2</v>
          </cell>
        </row>
        <row r="337">
          <cell r="B337">
            <v>160</v>
          </cell>
          <cell r="C337">
            <v>1.5</v>
          </cell>
          <cell r="D337">
            <v>7.14</v>
          </cell>
          <cell r="E337">
            <v>1</v>
          </cell>
          <cell r="I337">
            <v>0.15</v>
          </cell>
          <cell r="J337">
            <v>0.45</v>
          </cell>
          <cell r="K337">
            <v>0.6</v>
          </cell>
          <cell r="P337">
            <v>2</v>
          </cell>
        </row>
        <row r="338">
          <cell r="B338">
            <v>160</v>
          </cell>
          <cell r="C338">
            <v>2</v>
          </cell>
          <cell r="D338">
            <v>8.74</v>
          </cell>
          <cell r="E338">
            <v>1</v>
          </cell>
          <cell r="I338">
            <v>0.2</v>
          </cell>
          <cell r="J338">
            <v>0.7</v>
          </cell>
          <cell r="K338">
            <v>0.9</v>
          </cell>
          <cell r="P338">
            <v>4</v>
          </cell>
        </row>
        <row r="339">
          <cell r="B339">
            <v>160</v>
          </cell>
          <cell r="C339">
            <v>2</v>
          </cell>
          <cell r="D339">
            <v>8.74</v>
          </cell>
          <cell r="E339">
            <v>1</v>
          </cell>
          <cell r="I339">
            <v>0.2</v>
          </cell>
          <cell r="J339">
            <v>0.7</v>
          </cell>
          <cell r="K339">
            <v>0.9</v>
          </cell>
          <cell r="P339">
            <v>4</v>
          </cell>
        </row>
        <row r="340">
          <cell r="B340">
            <v>160</v>
          </cell>
          <cell r="C340">
            <v>2</v>
          </cell>
          <cell r="D340">
            <v>8.74</v>
          </cell>
          <cell r="E340">
            <v>1</v>
          </cell>
          <cell r="I340">
            <v>0.2</v>
          </cell>
          <cell r="J340">
            <v>0.7</v>
          </cell>
          <cell r="K340">
            <v>0.9</v>
          </cell>
          <cell r="P340">
            <v>4</v>
          </cell>
        </row>
        <row r="341">
          <cell r="B341">
            <v>160</v>
          </cell>
          <cell r="C341">
            <v>2.5</v>
          </cell>
          <cell r="D341">
            <v>9.5299999999999994</v>
          </cell>
          <cell r="E341">
            <v>1</v>
          </cell>
          <cell r="I341">
            <v>0.25</v>
          </cell>
          <cell r="J341">
            <v>0.8</v>
          </cell>
          <cell r="K341">
            <v>1.05</v>
          </cell>
          <cell r="P341">
            <v>4</v>
          </cell>
        </row>
        <row r="342">
          <cell r="B342">
            <v>160</v>
          </cell>
          <cell r="C342">
            <v>3</v>
          </cell>
          <cell r="D342">
            <v>11.13</v>
          </cell>
          <cell r="E342">
            <v>1.25</v>
          </cell>
          <cell r="I342">
            <v>0.3</v>
          </cell>
          <cell r="J342">
            <v>1.5</v>
          </cell>
          <cell r="K342">
            <v>1.8</v>
          </cell>
          <cell r="P342">
            <v>4</v>
          </cell>
        </row>
        <row r="343">
          <cell r="B343">
            <v>160</v>
          </cell>
          <cell r="C343">
            <v>4</v>
          </cell>
          <cell r="D343">
            <v>13.49</v>
          </cell>
          <cell r="E343">
            <v>1.25</v>
          </cell>
          <cell r="I343">
            <v>0.41</v>
          </cell>
          <cell r="J343">
            <v>2.59</v>
          </cell>
          <cell r="K343">
            <v>3</v>
          </cell>
          <cell r="P343">
            <v>4</v>
          </cell>
        </row>
        <row r="344">
          <cell r="B344">
            <v>160</v>
          </cell>
          <cell r="C344">
            <v>5</v>
          </cell>
          <cell r="D344">
            <v>15.88</v>
          </cell>
          <cell r="E344">
            <v>1.5</v>
          </cell>
          <cell r="I344">
            <v>0.51</v>
          </cell>
          <cell r="J344">
            <v>4.29</v>
          </cell>
          <cell r="K344">
            <v>4.8</v>
          </cell>
          <cell r="P344">
            <v>4</v>
          </cell>
        </row>
        <row r="345">
          <cell r="B345">
            <v>160</v>
          </cell>
          <cell r="C345">
            <v>6</v>
          </cell>
          <cell r="D345">
            <v>18.260000000000002</v>
          </cell>
          <cell r="E345">
            <v>1.5</v>
          </cell>
          <cell r="I345">
            <v>0.61</v>
          </cell>
          <cell r="J345">
            <v>7.04</v>
          </cell>
          <cell r="K345">
            <v>7.65</v>
          </cell>
          <cell r="P345">
            <v>4</v>
          </cell>
        </row>
        <row r="346">
          <cell r="B346">
            <v>160</v>
          </cell>
          <cell r="C346">
            <v>8</v>
          </cell>
          <cell r="D346">
            <v>23.01</v>
          </cell>
          <cell r="E346">
            <v>2</v>
          </cell>
          <cell r="I346">
            <v>0.81</v>
          </cell>
          <cell r="J346">
            <v>11.19</v>
          </cell>
          <cell r="K346">
            <v>12</v>
          </cell>
          <cell r="P346">
            <v>4</v>
          </cell>
        </row>
        <row r="347">
          <cell r="B347">
            <v>160</v>
          </cell>
          <cell r="C347">
            <v>10</v>
          </cell>
          <cell r="D347">
            <v>28.58</v>
          </cell>
          <cell r="E347" t="str">
            <v>N</v>
          </cell>
          <cell r="I347">
            <v>1.01</v>
          </cell>
          <cell r="J347">
            <v>21.48</v>
          </cell>
          <cell r="K347">
            <v>22.49</v>
          </cell>
          <cell r="P347">
            <v>4</v>
          </cell>
        </row>
        <row r="348">
          <cell r="B348">
            <v>160</v>
          </cell>
          <cell r="C348">
            <v>12</v>
          </cell>
          <cell r="D348">
            <v>33.32</v>
          </cell>
          <cell r="E348" t="str">
            <v>N</v>
          </cell>
          <cell r="I348">
            <v>1.22</v>
          </cell>
          <cell r="J348">
            <v>31.78</v>
          </cell>
          <cell r="K348">
            <v>33</v>
          </cell>
          <cell r="P348">
            <v>6</v>
          </cell>
        </row>
        <row r="349">
          <cell r="B349">
            <v>160</v>
          </cell>
          <cell r="C349">
            <v>14</v>
          </cell>
          <cell r="D349">
            <v>35.71</v>
          </cell>
          <cell r="E349" t="str">
            <v>N</v>
          </cell>
          <cell r="I349">
            <v>1.42</v>
          </cell>
          <cell r="J349">
            <v>39.07</v>
          </cell>
          <cell r="K349">
            <v>40.49</v>
          </cell>
          <cell r="P349">
            <v>6</v>
          </cell>
        </row>
        <row r="350">
          <cell r="B350">
            <v>160</v>
          </cell>
          <cell r="C350">
            <v>16</v>
          </cell>
          <cell r="D350">
            <v>40.49</v>
          </cell>
          <cell r="E350" t="str">
            <v>N</v>
          </cell>
          <cell r="I350">
            <v>1.62</v>
          </cell>
          <cell r="J350">
            <v>53.88</v>
          </cell>
          <cell r="K350">
            <v>55.5</v>
          </cell>
          <cell r="P350">
            <v>6</v>
          </cell>
        </row>
        <row r="351">
          <cell r="B351">
            <v>160</v>
          </cell>
          <cell r="C351">
            <v>18</v>
          </cell>
          <cell r="D351">
            <v>45.24</v>
          </cell>
          <cell r="E351" t="str">
            <v>N</v>
          </cell>
          <cell r="I351">
            <v>1.82</v>
          </cell>
          <cell r="J351">
            <v>71.680000000000007</v>
          </cell>
          <cell r="K351">
            <v>73.5</v>
          </cell>
          <cell r="P351">
            <v>6</v>
          </cell>
        </row>
        <row r="352">
          <cell r="B352">
            <v>160</v>
          </cell>
          <cell r="C352">
            <v>20</v>
          </cell>
          <cell r="D352">
            <v>50.01</v>
          </cell>
          <cell r="E352" t="str">
            <v>N</v>
          </cell>
          <cell r="I352">
            <v>2.0299999999999998</v>
          </cell>
          <cell r="J352">
            <v>93.97</v>
          </cell>
          <cell r="K352">
            <v>96</v>
          </cell>
          <cell r="P352">
            <v>7</v>
          </cell>
        </row>
        <row r="353">
          <cell r="B353">
            <v>160</v>
          </cell>
          <cell r="C353">
            <v>22</v>
          </cell>
          <cell r="D353">
            <v>53.98</v>
          </cell>
          <cell r="E353" t="str">
            <v>N</v>
          </cell>
          <cell r="I353">
            <v>2.23</v>
          </cell>
          <cell r="J353">
            <v>132.77000000000001</v>
          </cell>
          <cell r="K353">
            <v>135</v>
          </cell>
          <cell r="P353">
            <v>8</v>
          </cell>
        </row>
        <row r="354">
          <cell r="B354">
            <v>160</v>
          </cell>
          <cell r="C354">
            <v>24</v>
          </cell>
          <cell r="D354">
            <v>59.54</v>
          </cell>
          <cell r="E354" t="str">
            <v>N</v>
          </cell>
          <cell r="I354">
            <v>2.4300000000000002</v>
          </cell>
          <cell r="J354">
            <v>162.56</v>
          </cell>
          <cell r="K354">
            <v>164.99</v>
          </cell>
          <cell r="P354">
            <v>8</v>
          </cell>
        </row>
        <row r="355">
          <cell r="B355" t="str">
            <v>STD</v>
          </cell>
          <cell r="C355">
            <v>0.125</v>
          </cell>
          <cell r="D355">
            <v>1.73</v>
          </cell>
          <cell r="E355">
            <v>1</v>
          </cell>
          <cell r="I355">
            <v>7.0000000000000007E-2</v>
          </cell>
          <cell r="K355">
            <v>7.0000000000000007E-2</v>
          </cell>
          <cell r="P355">
            <v>2</v>
          </cell>
        </row>
        <row r="356">
          <cell r="B356" t="str">
            <v>STD</v>
          </cell>
          <cell r="C356">
            <v>0.125</v>
          </cell>
          <cell r="D356">
            <v>1.73</v>
          </cell>
          <cell r="E356">
            <v>1</v>
          </cell>
          <cell r="I356">
            <v>7.0000000000000007E-2</v>
          </cell>
          <cell r="K356">
            <v>7.0000000000000007E-2</v>
          </cell>
          <cell r="P356">
            <v>2</v>
          </cell>
        </row>
        <row r="357">
          <cell r="B357" t="str">
            <v>STD</v>
          </cell>
          <cell r="C357">
            <v>0.125</v>
          </cell>
          <cell r="D357">
            <v>1.73</v>
          </cell>
          <cell r="E357">
            <v>1</v>
          </cell>
          <cell r="I357">
            <v>7.0000000000000007E-2</v>
          </cell>
          <cell r="K357">
            <v>7.0000000000000007E-2</v>
          </cell>
          <cell r="P357">
            <v>2</v>
          </cell>
        </row>
        <row r="358">
          <cell r="B358" t="str">
            <v>STD</v>
          </cell>
          <cell r="C358">
            <v>0.25</v>
          </cell>
          <cell r="D358">
            <v>2.2400000000000002</v>
          </cell>
          <cell r="E358">
            <v>1</v>
          </cell>
          <cell r="I358">
            <v>7.0000000000000007E-2</v>
          </cell>
          <cell r="K358">
            <v>7.0000000000000007E-2</v>
          </cell>
          <cell r="P358">
            <v>2</v>
          </cell>
        </row>
        <row r="359">
          <cell r="B359" t="str">
            <v>STD</v>
          </cell>
          <cell r="C359">
            <v>0.25</v>
          </cell>
          <cell r="D359">
            <v>2.2400000000000002</v>
          </cell>
          <cell r="E359">
            <v>1</v>
          </cell>
          <cell r="I359">
            <v>7.0000000000000007E-2</v>
          </cell>
          <cell r="K359">
            <v>7.0000000000000007E-2</v>
          </cell>
          <cell r="P359">
            <v>2</v>
          </cell>
        </row>
        <row r="360">
          <cell r="B360" t="str">
            <v>STD</v>
          </cell>
          <cell r="C360">
            <v>0.25</v>
          </cell>
          <cell r="D360">
            <v>2.2400000000000002</v>
          </cell>
          <cell r="E360">
            <v>1</v>
          </cell>
          <cell r="I360">
            <v>7.0000000000000007E-2</v>
          </cell>
          <cell r="K360">
            <v>7.0000000000000007E-2</v>
          </cell>
          <cell r="P360">
            <v>2</v>
          </cell>
        </row>
        <row r="361">
          <cell r="B361" t="str">
            <v>STD</v>
          </cell>
          <cell r="C361">
            <v>0.375</v>
          </cell>
          <cell r="D361">
            <v>2.31</v>
          </cell>
          <cell r="E361">
            <v>1</v>
          </cell>
          <cell r="I361">
            <v>7.0000000000000007E-2</v>
          </cell>
          <cell r="J361">
            <v>0</v>
          </cell>
          <cell r="K361">
            <v>7.0000000000000007E-2</v>
          </cell>
          <cell r="P361">
            <v>2</v>
          </cell>
        </row>
        <row r="362">
          <cell r="B362" t="str">
            <v>STD</v>
          </cell>
          <cell r="C362">
            <v>0.375</v>
          </cell>
          <cell r="D362">
            <v>2.31</v>
          </cell>
          <cell r="E362">
            <v>1</v>
          </cell>
          <cell r="I362">
            <v>7.0000000000000007E-2</v>
          </cell>
          <cell r="J362">
            <v>0</v>
          </cell>
          <cell r="K362">
            <v>7.0000000000000007E-2</v>
          </cell>
          <cell r="P362">
            <v>2</v>
          </cell>
        </row>
        <row r="363">
          <cell r="B363" t="str">
            <v>STD</v>
          </cell>
          <cell r="C363">
            <v>0.375</v>
          </cell>
          <cell r="D363">
            <v>2.31</v>
          </cell>
          <cell r="E363">
            <v>1</v>
          </cell>
          <cell r="I363">
            <v>7.0000000000000007E-2</v>
          </cell>
          <cell r="J363">
            <v>0</v>
          </cell>
          <cell r="K363">
            <v>7.0000000000000007E-2</v>
          </cell>
          <cell r="P363">
            <v>2</v>
          </cell>
        </row>
        <row r="364">
          <cell r="B364" t="str">
            <v>STD</v>
          </cell>
          <cell r="C364">
            <v>0.5</v>
          </cell>
          <cell r="D364">
            <v>2.77</v>
          </cell>
          <cell r="E364">
            <v>1</v>
          </cell>
          <cell r="I364">
            <v>7.0000000000000007E-2</v>
          </cell>
          <cell r="J364">
            <v>0</v>
          </cell>
          <cell r="K364">
            <v>7.0000000000000007E-2</v>
          </cell>
          <cell r="P364">
            <v>2</v>
          </cell>
        </row>
        <row r="365">
          <cell r="B365" t="str">
            <v>STD</v>
          </cell>
          <cell r="C365">
            <v>0.5</v>
          </cell>
          <cell r="D365">
            <v>2.77</v>
          </cell>
          <cell r="E365">
            <v>1</v>
          </cell>
          <cell r="I365">
            <v>7.0000000000000007E-2</v>
          </cell>
          <cell r="J365">
            <v>0</v>
          </cell>
          <cell r="K365">
            <v>7.0000000000000007E-2</v>
          </cell>
          <cell r="P365">
            <v>2</v>
          </cell>
        </row>
        <row r="366">
          <cell r="B366" t="str">
            <v>STD</v>
          </cell>
          <cell r="C366">
            <v>0.5</v>
          </cell>
          <cell r="D366">
            <v>2.77</v>
          </cell>
          <cell r="E366">
            <v>1</v>
          </cell>
          <cell r="I366">
            <v>7.0000000000000007E-2</v>
          </cell>
          <cell r="J366">
            <v>0</v>
          </cell>
          <cell r="K366">
            <v>7.0000000000000007E-2</v>
          </cell>
          <cell r="P366">
            <v>2</v>
          </cell>
        </row>
        <row r="367">
          <cell r="B367" t="str">
            <v>STD</v>
          </cell>
          <cell r="C367">
            <v>0.75</v>
          </cell>
          <cell r="D367">
            <v>2.87</v>
          </cell>
          <cell r="E367">
            <v>1</v>
          </cell>
          <cell r="I367">
            <v>7.0000000000000007E-2</v>
          </cell>
          <cell r="J367">
            <v>0</v>
          </cell>
          <cell r="K367">
            <v>7.0000000000000007E-2</v>
          </cell>
          <cell r="P367">
            <v>2</v>
          </cell>
        </row>
        <row r="368">
          <cell r="B368" t="str">
            <v>STD</v>
          </cell>
          <cell r="C368">
            <v>0.75</v>
          </cell>
          <cell r="D368">
            <v>2.87</v>
          </cell>
          <cell r="E368">
            <v>1</v>
          </cell>
          <cell r="I368">
            <v>7.0000000000000007E-2</v>
          </cell>
          <cell r="J368">
            <v>0</v>
          </cell>
          <cell r="K368">
            <v>7.0000000000000007E-2</v>
          </cell>
          <cell r="P368">
            <v>2</v>
          </cell>
        </row>
        <row r="369">
          <cell r="B369" t="str">
            <v>STD</v>
          </cell>
          <cell r="C369">
            <v>0.75</v>
          </cell>
          <cell r="D369">
            <v>2.87</v>
          </cell>
          <cell r="E369">
            <v>1</v>
          </cell>
          <cell r="I369">
            <v>7.0000000000000007E-2</v>
          </cell>
          <cell r="J369">
            <v>0</v>
          </cell>
          <cell r="K369">
            <v>7.0000000000000007E-2</v>
          </cell>
          <cell r="P369">
            <v>2</v>
          </cell>
        </row>
        <row r="370">
          <cell r="B370" t="str">
            <v>STD</v>
          </cell>
          <cell r="C370">
            <v>1</v>
          </cell>
          <cell r="D370">
            <v>3.38</v>
          </cell>
          <cell r="E370">
            <v>1</v>
          </cell>
          <cell r="I370">
            <v>0.12</v>
          </cell>
          <cell r="J370">
            <v>0</v>
          </cell>
          <cell r="K370">
            <v>0.12</v>
          </cell>
          <cell r="P370">
            <v>2</v>
          </cell>
        </row>
        <row r="371">
          <cell r="B371" t="str">
            <v>STD</v>
          </cell>
          <cell r="C371">
            <v>1</v>
          </cell>
          <cell r="D371">
            <v>3.38</v>
          </cell>
          <cell r="E371">
            <v>1</v>
          </cell>
          <cell r="I371">
            <v>0.12</v>
          </cell>
          <cell r="J371">
            <v>0</v>
          </cell>
          <cell r="K371">
            <v>0.12</v>
          </cell>
          <cell r="P371">
            <v>2</v>
          </cell>
        </row>
        <row r="372">
          <cell r="B372" t="str">
            <v>STD</v>
          </cell>
          <cell r="C372">
            <v>1</v>
          </cell>
          <cell r="D372">
            <v>3.38</v>
          </cell>
          <cell r="E372">
            <v>1</v>
          </cell>
          <cell r="I372">
            <v>0.12</v>
          </cell>
          <cell r="J372">
            <v>0</v>
          </cell>
          <cell r="K372">
            <v>0.12</v>
          </cell>
          <cell r="P372">
            <v>2</v>
          </cell>
        </row>
        <row r="373">
          <cell r="B373" t="str">
            <v>STD</v>
          </cell>
          <cell r="C373">
            <v>1.25</v>
          </cell>
          <cell r="D373">
            <v>3.56</v>
          </cell>
          <cell r="E373">
            <v>1</v>
          </cell>
          <cell r="I373">
            <v>0.15</v>
          </cell>
          <cell r="K373">
            <v>0.15</v>
          </cell>
          <cell r="P373">
            <v>2</v>
          </cell>
        </row>
        <row r="374">
          <cell r="B374" t="str">
            <v>STD</v>
          </cell>
          <cell r="C374">
            <v>1.25</v>
          </cell>
          <cell r="D374">
            <v>3.56</v>
          </cell>
          <cell r="E374">
            <v>1</v>
          </cell>
          <cell r="I374">
            <v>0.15</v>
          </cell>
          <cell r="K374">
            <v>0.15</v>
          </cell>
          <cell r="P374">
            <v>2</v>
          </cell>
        </row>
        <row r="375">
          <cell r="B375" t="str">
            <v>STD</v>
          </cell>
          <cell r="C375">
            <v>1.25</v>
          </cell>
          <cell r="D375">
            <v>3.56</v>
          </cell>
          <cell r="E375">
            <v>1</v>
          </cell>
          <cell r="I375">
            <v>0.15</v>
          </cell>
          <cell r="K375">
            <v>0.15</v>
          </cell>
          <cell r="P375">
            <v>2</v>
          </cell>
        </row>
        <row r="376">
          <cell r="B376" t="str">
            <v>STD</v>
          </cell>
          <cell r="C376">
            <v>1.5</v>
          </cell>
          <cell r="D376">
            <v>3.68</v>
          </cell>
          <cell r="E376">
            <v>1</v>
          </cell>
          <cell r="I376">
            <v>0.15</v>
          </cell>
          <cell r="J376">
            <v>0</v>
          </cell>
          <cell r="K376">
            <v>0.15</v>
          </cell>
          <cell r="P376">
            <v>2</v>
          </cell>
        </row>
        <row r="377">
          <cell r="B377" t="str">
            <v>STD</v>
          </cell>
          <cell r="C377">
            <v>1.5</v>
          </cell>
          <cell r="D377">
            <v>3.68</v>
          </cell>
          <cell r="E377">
            <v>1</v>
          </cell>
          <cell r="I377">
            <v>0.15</v>
          </cell>
          <cell r="J377">
            <v>0</v>
          </cell>
          <cell r="K377">
            <v>0.15</v>
          </cell>
          <cell r="P377">
            <v>2</v>
          </cell>
        </row>
        <row r="378">
          <cell r="B378" t="str">
            <v>STD</v>
          </cell>
          <cell r="C378">
            <v>1.5</v>
          </cell>
          <cell r="D378">
            <v>3.68</v>
          </cell>
          <cell r="E378">
            <v>1</v>
          </cell>
          <cell r="I378">
            <v>0.15</v>
          </cell>
          <cell r="J378">
            <v>0</v>
          </cell>
          <cell r="K378">
            <v>0.15</v>
          </cell>
          <cell r="P378">
            <v>2</v>
          </cell>
        </row>
        <row r="379">
          <cell r="B379" t="str">
            <v>STD</v>
          </cell>
          <cell r="C379">
            <v>2</v>
          </cell>
          <cell r="D379">
            <v>3.91</v>
          </cell>
          <cell r="E379">
            <v>1</v>
          </cell>
          <cell r="I379">
            <v>0.3</v>
          </cell>
          <cell r="J379">
            <v>0</v>
          </cell>
          <cell r="K379">
            <v>0.3</v>
          </cell>
          <cell r="P379">
            <v>2</v>
          </cell>
        </row>
        <row r="380">
          <cell r="B380" t="str">
            <v>STD</v>
          </cell>
          <cell r="C380">
            <v>2</v>
          </cell>
          <cell r="D380">
            <v>3.91</v>
          </cell>
          <cell r="E380">
            <v>1</v>
          </cell>
          <cell r="I380">
            <v>0.3</v>
          </cell>
          <cell r="J380">
            <v>0</v>
          </cell>
          <cell r="K380">
            <v>0.3</v>
          </cell>
          <cell r="P380">
            <v>2</v>
          </cell>
        </row>
        <row r="381">
          <cell r="B381" t="str">
            <v>STD</v>
          </cell>
          <cell r="C381">
            <v>2</v>
          </cell>
          <cell r="D381">
            <v>3.91</v>
          </cell>
          <cell r="E381">
            <v>1</v>
          </cell>
          <cell r="I381">
            <v>0.3</v>
          </cell>
          <cell r="J381">
            <v>0</v>
          </cell>
          <cell r="K381">
            <v>0.3</v>
          </cell>
          <cell r="P381">
            <v>2</v>
          </cell>
        </row>
        <row r="382">
          <cell r="B382" t="str">
            <v>STD</v>
          </cell>
          <cell r="C382">
            <v>2.5</v>
          </cell>
          <cell r="D382">
            <v>5.16</v>
          </cell>
          <cell r="E382">
            <v>1</v>
          </cell>
          <cell r="I382">
            <v>0.25</v>
          </cell>
          <cell r="J382">
            <v>0.2</v>
          </cell>
          <cell r="K382">
            <v>0.45</v>
          </cell>
          <cell r="P382">
            <v>2</v>
          </cell>
        </row>
        <row r="383">
          <cell r="B383" t="str">
            <v>STD</v>
          </cell>
          <cell r="C383">
            <v>3</v>
          </cell>
          <cell r="D383">
            <v>5.49</v>
          </cell>
          <cell r="E383">
            <v>1</v>
          </cell>
          <cell r="I383">
            <v>0.3</v>
          </cell>
          <cell r="J383">
            <v>0.3</v>
          </cell>
          <cell r="K383">
            <v>0.6</v>
          </cell>
          <cell r="P383">
            <v>2</v>
          </cell>
        </row>
        <row r="384">
          <cell r="B384" t="str">
            <v>STD</v>
          </cell>
          <cell r="C384">
            <v>3.5</v>
          </cell>
          <cell r="D384">
            <v>5.74</v>
          </cell>
          <cell r="E384">
            <v>1</v>
          </cell>
          <cell r="I384">
            <v>0.35</v>
          </cell>
          <cell r="J384">
            <v>0.4</v>
          </cell>
          <cell r="K384">
            <v>0.75</v>
          </cell>
          <cell r="P384">
            <v>3</v>
          </cell>
        </row>
        <row r="385">
          <cell r="B385" t="str">
            <v>STD</v>
          </cell>
          <cell r="C385">
            <v>4</v>
          </cell>
          <cell r="D385">
            <v>6.02</v>
          </cell>
          <cell r="E385">
            <v>1</v>
          </cell>
          <cell r="I385">
            <v>0.41</v>
          </cell>
          <cell r="J385">
            <v>0.49</v>
          </cell>
          <cell r="K385">
            <v>0.9</v>
          </cell>
          <cell r="P385">
            <v>3</v>
          </cell>
        </row>
        <row r="386">
          <cell r="B386" t="str">
            <v>STD</v>
          </cell>
          <cell r="C386">
            <v>5</v>
          </cell>
          <cell r="D386">
            <v>6.55</v>
          </cell>
          <cell r="E386">
            <v>1</v>
          </cell>
          <cell r="I386">
            <v>0.51</v>
          </cell>
          <cell r="J386">
            <v>0.54</v>
          </cell>
          <cell r="K386">
            <v>1.05</v>
          </cell>
          <cell r="P386">
            <v>4</v>
          </cell>
        </row>
        <row r="387">
          <cell r="B387" t="str">
            <v>STD</v>
          </cell>
          <cell r="C387">
            <v>6</v>
          </cell>
          <cell r="D387">
            <v>7.11</v>
          </cell>
          <cell r="E387">
            <v>1</v>
          </cell>
          <cell r="I387">
            <v>0.61</v>
          </cell>
          <cell r="J387">
            <v>1.04</v>
          </cell>
          <cell r="K387">
            <v>1.65</v>
          </cell>
          <cell r="P387">
            <v>4</v>
          </cell>
        </row>
        <row r="388">
          <cell r="B388" t="str">
            <v>STD</v>
          </cell>
          <cell r="C388">
            <v>8</v>
          </cell>
          <cell r="D388">
            <v>8.18</v>
          </cell>
          <cell r="E388">
            <v>1</v>
          </cell>
          <cell r="I388">
            <v>0.81</v>
          </cell>
          <cell r="J388">
            <v>1.73</v>
          </cell>
          <cell r="K388">
            <v>2.54</v>
          </cell>
          <cell r="P388">
            <v>4</v>
          </cell>
        </row>
        <row r="389">
          <cell r="B389" t="str">
            <v>STD</v>
          </cell>
          <cell r="C389">
            <v>10</v>
          </cell>
          <cell r="D389">
            <v>9.27</v>
          </cell>
          <cell r="E389">
            <v>1</v>
          </cell>
          <cell r="I389">
            <v>1.01</v>
          </cell>
          <cell r="J389">
            <v>3.04</v>
          </cell>
          <cell r="K389">
            <v>4.05</v>
          </cell>
          <cell r="P389">
            <v>4</v>
          </cell>
        </row>
        <row r="390">
          <cell r="B390" t="str">
            <v>STD</v>
          </cell>
          <cell r="C390">
            <v>12</v>
          </cell>
          <cell r="D390">
            <v>9.5299999999999994</v>
          </cell>
          <cell r="E390">
            <v>1</v>
          </cell>
          <cell r="I390">
            <v>1.22</v>
          </cell>
          <cell r="J390">
            <v>3.28</v>
          </cell>
          <cell r="K390">
            <v>4.5</v>
          </cell>
          <cell r="P390">
            <v>6</v>
          </cell>
        </row>
        <row r="391">
          <cell r="B391" t="str">
            <v>STD</v>
          </cell>
          <cell r="C391">
            <v>14</v>
          </cell>
          <cell r="D391">
            <v>9.5299999999999994</v>
          </cell>
          <cell r="E391">
            <v>1</v>
          </cell>
          <cell r="I391">
            <v>1.42</v>
          </cell>
          <cell r="J391">
            <v>3.97</v>
          </cell>
          <cell r="K391">
            <v>5.39</v>
          </cell>
          <cell r="P391">
            <v>6</v>
          </cell>
        </row>
        <row r="392">
          <cell r="B392" t="str">
            <v>STD</v>
          </cell>
          <cell r="C392">
            <v>16</v>
          </cell>
          <cell r="D392">
            <v>9.5299999999999994</v>
          </cell>
          <cell r="E392">
            <v>1</v>
          </cell>
          <cell r="I392">
            <v>1.62</v>
          </cell>
          <cell r="J392">
            <v>4.68</v>
          </cell>
          <cell r="K392">
            <v>6.3</v>
          </cell>
          <cell r="P392">
            <v>6</v>
          </cell>
        </row>
        <row r="393">
          <cell r="B393" t="str">
            <v>STD</v>
          </cell>
          <cell r="C393">
            <v>18</v>
          </cell>
          <cell r="D393">
            <v>9.5299999999999994</v>
          </cell>
          <cell r="E393">
            <v>1</v>
          </cell>
          <cell r="I393">
            <v>1.82</v>
          </cell>
          <cell r="J393">
            <v>5.38</v>
          </cell>
          <cell r="K393">
            <v>7.2</v>
          </cell>
          <cell r="P393">
            <v>6</v>
          </cell>
        </row>
        <row r="394">
          <cell r="B394" t="str">
            <v>STD</v>
          </cell>
          <cell r="C394">
            <v>20</v>
          </cell>
          <cell r="D394">
            <v>9.5299999999999994</v>
          </cell>
          <cell r="E394">
            <v>1</v>
          </cell>
          <cell r="I394">
            <v>2.0299999999999998</v>
          </cell>
          <cell r="J394">
            <v>5.47</v>
          </cell>
          <cell r="K394">
            <v>7.5</v>
          </cell>
          <cell r="P394">
            <v>7</v>
          </cell>
        </row>
        <row r="395">
          <cell r="B395" t="str">
            <v>STD</v>
          </cell>
          <cell r="C395">
            <v>22</v>
          </cell>
          <cell r="D395">
            <v>9.5299999999999994</v>
          </cell>
          <cell r="E395">
            <v>1</v>
          </cell>
          <cell r="I395">
            <v>2.23</v>
          </cell>
          <cell r="J395">
            <v>6.47</v>
          </cell>
          <cell r="K395">
            <v>8.6999999999999993</v>
          </cell>
          <cell r="P395">
            <v>8</v>
          </cell>
        </row>
        <row r="396">
          <cell r="B396" t="str">
            <v>STD</v>
          </cell>
          <cell r="C396">
            <v>24</v>
          </cell>
          <cell r="D396">
            <v>9.5299999999999994</v>
          </cell>
          <cell r="E396">
            <v>1</v>
          </cell>
          <cell r="I396">
            <v>2.4300000000000002</v>
          </cell>
          <cell r="J396">
            <v>6.57</v>
          </cell>
          <cell r="K396">
            <v>9</v>
          </cell>
          <cell r="P396">
            <v>8</v>
          </cell>
        </row>
        <row r="397">
          <cell r="B397" t="str">
            <v>STD</v>
          </cell>
          <cell r="C397">
            <v>26</v>
          </cell>
          <cell r="D397">
            <v>9.5299999999999994</v>
          </cell>
          <cell r="E397">
            <v>1</v>
          </cell>
          <cell r="I397">
            <v>2.64</v>
          </cell>
          <cell r="J397">
            <v>7.7</v>
          </cell>
          <cell r="K397">
            <v>10.34</v>
          </cell>
          <cell r="P397">
            <v>9</v>
          </cell>
        </row>
        <row r="398">
          <cell r="B398" t="str">
            <v>STD</v>
          </cell>
          <cell r="C398">
            <v>28</v>
          </cell>
          <cell r="D398">
            <v>9.5299999999999994</v>
          </cell>
          <cell r="E398">
            <v>1</v>
          </cell>
          <cell r="I398">
            <v>2.84</v>
          </cell>
          <cell r="J398">
            <v>8.25</v>
          </cell>
          <cell r="K398">
            <v>11.09</v>
          </cell>
          <cell r="P398">
            <v>9</v>
          </cell>
        </row>
        <row r="399">
          <cell r="B399" t="str">
            <v>STD</v>
          </cell>
          <cell r="C399">
            <v>30</v>
          </cell>
          <cell r="D399">
            <v>9.5299999999999994</v>
          </cell>
          <cell r="E399">
            <v>1</v>
          </cell>
          <cell r="I399">
            <v>3.04</v>
          </cell>
          <cell r="J399">
            <v>8.9600000000000009</v>
          </cell>
          <cell r="K399">
            <v>12</v>
          </cell>
          <cell r="P399">
            <v>10</v>
          </cell>
        </row>
        <row r="400">
          <cell r="B400" t="str">
            <v>STD</v>
          </cell>
          <cell r="C400">
            <v>32</v>
          </cell>
          <cell r="D400">
            <v>9.5299999999999994</v>
          </cell>
          <cell r="E400">
            <v>1</v>
          </cell>
          <cell r="I400">
            <v>3.24</v>
          </cell>
          <cell r="J400">
            <v>9.51</v>
          </cell>
          <cell r="K400">
            <v>12.75</v>
          </cell>
          <cell r="P400">
            <v>11</v>
          </cell>
        </row>
        <row r="401">
          <cell r="B401" t="str">
            <v>STD</v>
          </cell>
          <cell r="C401">
            <v>34</v>
          </cell>
          <cell r="D401">
            <v>9.5299999999999994</v>
          </cell>
          <cell r="E401">
            <v>1</v>
          </cell>
          <cell r="I401">
            <v>3.45</v>
          </cell>
          <cell r="J401">
            <v>10.050000000000001</v>
          </cell>
          <cell r="K401">
            <v>13.5</v>
          </cell>
          <cell r="P401">
            <v>12</v>
          </cell>
        </row>
        <row r="402">
          <cell r="B402" t="str">
            <v>STD</v>
          </cell>
          <cell r="C402">
            <v>36</v>
          </cell>
          <cell r="D402">
            <v>9.5299999999999994</v>
          </cell>
          <cell r="E402">
            <v>1</v>
          </cell>
          <cell r="I402">
            <v>3.65</v>
          </cell>
          <cell r="J402">
            <v>10.6</v>
          </cell>
          <cell r="K402">
            <v>14.25</v>
          </cell>
          <cell r="P402">
            <v>12</v>
          </cell>
        </row>
        <row r="403">
          <cell r="B403" t="str">
            <v>STD</v>
          </cell>
          <cell r="C403">
            <v>38</v>
          </cell>
          <cell r="D403">
            <v>9.5299999999999994</v>
          </cell>
          <cell r="E403">
            <v>1</v>
          </cell>
          <cell r="I403">
            <v>3.85</v>
          </cell>
          <cell r="J403">
            <v>11.23</v>
          </cell>
          <cell r="K403">
            <v>15.08</v>
          </cell>
          <cell r="P403">
            <v>13</v>
          </cell>
        </row>
        <row r="404">
          <cell r="B404" t="str">
            <v>STD</v>
          </cell>
          <cell r="C404">
            <v>40</v>
          </cell>
          <cell r="D404">
            <v>9.5299999999999994</v>
          </cell>
          <cell r="E404">
            <v>1</v>
          </cell>
          <cell r="I404">
            <v>4.0599999999999996</v>
          </cell>
          <cell r="J404">
            <v>11.66</v>
          </cell>
          <cell r="K404">
            <v>15.72</v>
          </cell>
          <cell r="P404">
            <v>14</v>
          </cell>
        </row>
        <row r="405">
          <cell r="B405" t="str">
            <v>STD</v>
          </cell>
          <cell r="C405">
            <v>42</v>
          </cell>
          <cell r="D405">
            <v>9.5299999999999994</v>
          </cell>
          <cell r="E405">
            <v>1</v>
          </cell>
          <cell r="I405">
            <v>4.26</v>
          </cell>
          <cell r="J405">
            <v>12.24</v>
          </cell>
          <cell r="K405">
            <v>16.5</v>
          </cell>
          <cell r="P405">
            <v>14</v>
          </cell>
        </row>
        <row r="406">
          <cell r="B406" t="str">
            <v>STD</v>
          </cell>
          <cell r="C406">
            <v>44</v>
          </cell>
          <cell r="D406">
            <v>9.5299999999999994</v>
          </cell>
          <cell r="E406">
            <v>1</v>
          </cell>
          <cell r="I406">
            <v>4.47</v>
          </cell>
          <cell r="J406">
            <v>17.54</v>
          </cell>
          <cell r="K406">
            <v>22.01</v>
          </cell>
          <cell r="P406">
            <v>15</v>
          </cell>
        </row>
        <row r="407">
          <cell r="B407" t="str">
            <v>STD</v>
          </cell>
          <cell r="C407">
            <v>46</v>
          </cell>
          <cell r="D407">
            <v>9.5299999999999994</v>
          </cell>
          <cell r="E407">
            <v>1</v>
          </cell>
          <cell r="I407">
            <v>4.67</v>
          </cell>
          <cell r="J407">
            <v>18.329999999999998</v>
          </cell>
          <cell r="K407">
            <v>23</v>
          </cell>
          <cell r="P407">
            <v>16</v>
          </cell>
        </row>
        <row r="408">
          <cell r="B408" t="str">
            <v>STD</v>
          </cell>
          <cell r="C408">
            <v>48</v>
          </cell>
          <cell r="D408">
            <v>9.5299999999999994</v>
          </cell>
          <cell r="E408">
            <v>1</v>
          </cell>
          <cell r="I408">
            <v>4.87</v>
          </cell>
          <cell r="J408">
            <v>19.13</v>
          </cell>
          <cell r="K408">
            <v>24</v>
          </cell>
          <cell r="P408">
            <v>16</v>
          </cell>
        </row>
        <row r="409">
          <cell r="B409" t="str">
            <v>XS</v>
          </cell>
          <cell r="C409">
            <v>0.125</v>
          </cell>
          <cell r="D409">
            <v>2.41</v>
          </cell>
          <cell r="E409">
            <v>1</v>
          </cell>
          <cell r="I409">
            <v>7.0000000000000007E-2</v>
          </cell>
          <cell r="K409">
            <v>7.0000000000000007E-2</v>
          </cell>
          <cell r="P409">
            <v>2</v>
          </cell>
        </row>
        <row r="410">
          <cell r="B410" t="str">
            <v>XS</v>
          </cell>
          <cell r="C410">
            <v>0.125</v>
          </cell>
          <cell r="D410">
            <v>2.41</v>
          </cell>
          <cell r="E410">
            <v>1</v>
          </cell>
          <cell r="I410">
            <v>7.0000000000000007E-2</v>
          </cell>
          <cell r="K410">
            <v>7.0000000000000007E-2</v>
          </cell>
          <cell r="P410">
            <v>2</v>
          </cell>
        </row>
        <row r="411">
          <cell r="B411" t="str">
            <v>XS</v>
          </cell>
          <cell r="C411">
            <v>0.125</v>
          </cell>
          <cell r="D411">
            <v>2.41</v>
          </cell>
          <cell r="E411">
            <v>1</v>
          </cell>
          <cell r="I411">
            <v>7.0000000000000007E-2</v>
          </cell>
          <cell r="K411">
            <v>7.0000000000000007E-2</v>
          </cell>
          <cell r="P411">
            <v>2</v>
          </cell>
        </row>
        <row r="412">
          <cell r="B412" t="str">
            <v>XS</v>
          </cell>
          <cell r="C412">
            <v>0.25</v>
          </cell>
          <cell r="D412">
            <v>3.02</v>
          </cell>
          <cell r="E412">
            <v>1</v>
          </cell>
          <cell r="I412">
            <v>7.0000000000000007E-2</v>
          </cell>
          <cell r="K412">
            <v>7.0000000000000007E-2</v>
          </cell>
          <cell r="P412">
            <v>2</v>
          </cell>
        </row>
        <row r="413">
          <cell r="B413" t="str">
            <v>XS</v>
          </cell>
          <cell r="C413">
            <v>0.25</v>
          </cell>
          <cell r="D413">
            <v>3.02</v>
          </cell>
          <cell r="E413">
            <v>1</v>
          </cell>
          <cell r="I413">
            <v>7.0000000000000007E-2</v>
          </cell>
          <cell r="K413">
            <v>7.0000000000000007E-2</v>
          </cell>
          <cell r="P413">
            <v>2</v>
          </cell>
        </row>
        <row r="414">
          <cell r="B414" t="str">
            <v>XS</v>
          </cell>
          <cell r="C414">
            <v>0.25</v>
          </cell>
          <cell r="D414">
            <v>3.02</v>
          </cell>
          <cell r="E414">
            <v>1</v>
          </cell>
          <cell r="I414">
            <v>7.0000000000000007E-2</v>
          </cell>
          <cell r="K414">
            <v>7.0000000000000007E-2</v>
          </cell>
          <cell r="P414">
            <v>2</v>
          </cell>
        </row>
        <row r="415">
          <cell r="B415" t="str">
            <v>XS</v>
          </cell>
          <cell r="C415">
            <v>0.375</v>
          </cell>
          <cell r="D415">
            <v>3.2</v>
          </cell>
          <cell r="E415">
            <v>1</v>
          </cell>
          <cell r="I415">
            <v>7.0000000000000007E-2</v>
          </cell>
          <cell r="J415">
            <v>0</v>
          </cell>
          <cell r="K415">
            <v>7.0000000000000007E-2</v>
          </cell>
          <cell r="P415">
            <v>2</v>
          </cell>
        </row>
        <row r="416">
          <cell r="B416" t="str">
            <v>XS</v>
          </cell>
          <cell r="C416">
            <v>0.375</v>
          </cell>
          <cell r="D416">
            <v>3.2</v>
          </cell>
          <cell r="E416">
            <v>1</v>
          </cell>
          <cell r="I416">
            <v>7.0000000000000007E-2</v>
          </cell>
          <cell r="J416">
            <v>0</v>
          </cell>
          <cell r="K416">
            <v>7.0000000000000007E-2</v>
          </cell>
          <cell r="P416">
            <v>2</v>
          </cell>
        </row>
        <row r="417">
          <cell r="B417" t="str">
            <v>XS</v>
          </cell>
          <cell r="C417">
            <v>0.375</v>
          </cell>
          <cell r="D417">
            <v>3.2</v>
          </cell>
          <cell r="E417">
            <v>1</v>
          </cell>
          <cell r="I417">
            <v>7.0000000000000007E-2</v>
          </cell>
          <cell r="J417">
            <v>0</v>
          </cell>
          <cell r="K417">
            <v>7.0000000000000007E-2</v>
          </cell>
          <cell r="P417">
            <v>2</v>
          </cell>
        </row>
        <row r="418">
          <cell r="B418" t="str">
            <v>XS</v>
          </cell>
          <cell r="C418">
            <v>0.5</v>
          </cell>
          <cell r="D418">
            <v>3.73</v>
          </cell>
          <cell r="E418">
            <v>1</v>
          </cell>
          <cell r="I418">
            <v>7.0000000000000007E-2</v>
          </cell>
          <cell r="J418">
            <v>0</v>
          </cell>
          <cell r="K418">
            <v>7.0000000000000007E-2</v>
          </cell>
          <cell r="P418">
            <v>2</v>
          </cell>
        </row>
        <row r="419">
          <cell r="B419" t="str">
            <v>XS</v>
          </cell>
          <cell r="C419">
            <v>0.5</v>
          </cell>
          <cell r="D419">
            <v>3.73</v>
          </cell>
          <cell r="E419">
            <v>1</v>
          </cell>
          <cell r="I419">
            <v>7.0000000000000007E-2</v>
          </cell>
          <cell r="J419">
            <v>0</v>
          </cell>
          <cell r="K419">
            <v>7.0000000000000007E-2</v>
          </cell>
          <cell r="P419">
            <v>2</v>
          </cell>
        </row>
        <row r="420">
          <cell r="B420" t="str">
            <v>XS</v>
          </cell>
          <cell r="C420">
            <v>0.5</v>
          </cell>
          <cell r="D420">
            <v>3.73</v>
          </cell>
          <cell r="E420">
            <v>1</v>
          </cell>
          <cell r="I420">
            <v>7.0000000000000007E-2</v>
          </cell>
          <cell r="J420">
            <v>0</v>
          </cell>
          <cell r="K420">
            <v>7.0000000000000007E-2</v>
          </cell>
          <cell r="P420">
            <v>2</v>
          </cell>
        </row>
        <row r="421">
          <cell r="B421" t="str">
            <v>XS</v>
          </cell>
          <cell r="C421">
            <v>0.75</v>
          </cell>
          <cell r="D421">
            <v>3.91</v>
          </cell>
          <cell r="E421">
            <v>1</v>
          </cell>
          <cell r="I421">
            <v>7.0000000000000007E-2</v>
          </cell>
          <cell r="J421">
            <v>0</v>
          </cell>
          <cell r="K421">
            <v>7.0000000000000007E-2</v>
          </cell>
          <cell r="P421">
            <v>2</v>
          </cell>
        </row>
        <row r="422">
          <cell r="B422" t="str">
            <v>XS</v>
          </cell>
          <cell r="C422">
            <v>0.75</v>
          </cell>
          <cell r="D422">
            <v>3.91</v>
          </cell>
          <cell r="E422">
            <v>1</v>
          </cell>
          <cell r="I422">
            <v>7.0000000000000007E-2</v>
          </cell>
          <cell r="J422">
            <v>0</v>
          </cell>
          <cell r="K422">
            <v>7.0000000000000007E-2</v>
          </cell>
          <cell r="P422">
            <v>2</v>
          </cell>
        </row>
        <row r="423">
          <cell r="B423" t="str">
            <v>XS</v>
          </cell>
          <cell r="C423">
            <v>0.75</v>
          </cell>
          <cell r="D423">
            <v>3.91</v>
          </cell>
          <cell r="E423">
            <v>1</v>
          </cell>
          <cell r="I423">
            <v>7.0000000000000007E-2</v>
          </cell>
          <cell r="J423">
            <v>0</v>
          </cell>
          <cell r="K423">
            <v>7.0000000000000007E-2</v>
          </cell>
          <cell r="P423">
            <v>2</v>
          </cell>
        </row>
        <row r="424">
          <cell r="B424" t="str">
            <v>XS</v>
          </cell>
          <cell r="C424">
            <v>1</v>
          </cell>
          <cell r="D424">
            <v>4.55</v>
          </cell>
          <cell r="E424">
            <v>1</v>
          </cell>
          <cell r="I424">
            <v>0.15</v>
          </cell>
          <cell r="J424">
            <v>0</v>
          </cell>
          <cell r="K424">
            <v>0.15</v>
          </cell>
          <cell r="P424">
            <v>2</v>
          </cell>
        </row>
        <row r="425">
          <cell r="B425" t="str">
            <v>XS</v>
          </cell>
          <cell r="C425">
            <v>1</v>
          </cell>
          <cell r="D425">
            <v>4.55</v>
          </cell>
          <cell r="E425">
            <v>1</v>
          </cell>
          <cell r="I425">
            <v>0.15</v>
          </cell>
          <cell r="J425">
            <v>0</v>
          </cell>
          <cell r="K425">
            <v>0.15</v>
          </cell>
          <cell r="P425">
            <v>2</v>
          </cell>
        </row>
        <row r="426">
          <cell r="B426" t="str">
            <v>XS</v>
          </cell>
          <cell r="C426">
            <v>1</v>
          </cell>
          <cell r="D426">
            <v>4.55</v>
          </cell>
          <cell r="E426">
            <v>1</v>
          </cell>
          <cell r="I426">
            <v>0.15</v>
          </cell>
          <cell r="J426">
            <v>0</v>
          </cell>
          <cell r="K426">
            <v>0.15</v>
          </cell>
          <cell r="P426">
            <v>2</v>
          </cell>
        </row>
        <row r="427">
          <cell r="B427" t="str">
            <v>XS</v>
          </cell>
          <cell r="C427">
            <v>1.25</v>
          </cell>
          <cell r="D427">
            <v>4.8499999999999996</v>
          </cell>
          <cell r="E427">
            <v>1</v>
          </cell>
          <cell r="I427">
            <v>0.13</v>
          </cell>
          <cell r="J427">
            <v>0.17</v>
          </cell>
          <cell r="K427">
            <v>0.3</v>
          </cell>
          <cell r="P427">
            <v>2</v>
          </cell>
        </row>
        <row r="428">
          <cell r="B428" t="str">
            <v>XS</v>
          </cell>
          <cell r="C428">
            <v>1.25</v>
          </cell>
          <cell r="D428">
            <v>4.8499999999999996</v>
          </cell>
          <cell r="E428">
            <v>1</v>
          </cell>
          <cell r="I428">
            <v>0.13</v>
          </cell>
          <cell r="J428">
            <v>0.17</v>
          </cell>
          <cell r="K428">
            <v>0.3</v>
          </cell>
          <cell r="P428">
            <v>2</v>
          </cell>
        </row>
        <row r="429">
          <cell r="B429" t="str">
            <v>XS</v>
          </cell>
          <cell r="C429">
            <v>1.25</v>
          </cell>
          <cell r="D429">
            <v>4.8499999999999996</v>
          </cell>
          <cell r="E429">
            <v>1</v>
          </cell>
          <cell r="I429">
            <v>0.13</v>
          </cell>
          <cell r="J429">
            <v>0.17</v>
          </cell>
          <cell r="K429">
            <v>0.3</v>
          </cell>
          <cell r="P429">
            <v>2</v>
          </cell>
        </row>
        <row r="430">
          <cell r="B430" t="str">
            <v>XS</v>
          </cell>
          <cell r="C430">
            <v>1.5</v>
          </cell>
          <cell r="D430">
            <v>5.08</v>
          </cell>
          <cell r="E430">
            <v>1</v>
          </cell>
          <cell r="I430">
            <v>0.15</v>
          </cell>
          <cell r="J430">
            <v>0.15</v>
          </cell>
          <cell r="K430">
            <v>0.3</v>
          </cell>
          <cell r="P430">
            <v>2</v>
          </cell>
        </row>
        <row r="431">
          <cell r="B431" t="str">
            <v>XS</v>
          </cell>
          <cell r="C431">
            <v>1.5</v>
          </cell>
          <cell r="D431">
            <v>5.08</v>
          </cell>
          <cell r="E431">
            <v>1</v>
          </cell>
          <cell r="I431">
            <v>0.15</v>
          </cell>
          <cell r="J431">
            <v>0.15</v>
          </cell>
          <cell r="K431">
            <v>0.3</v>
          </cell>
          <cell r="P431">
            <v>2</v>
          </cell>
        </row>
        <row r="432">
          <cell r="B432" t="str">
            <v>XS</v>
          </cell>
          <cell r="C432">
            <v>1.5</v>
          </cell>
          <cell r="D432">
            <v>5.08</v>
          </cell>
          <cell r="E432">
            <v>1</v>
          </cell>
          <cell r="I432">
            <v>0.15</v>
          </cell>
          <cell r="J432">
            <v>0.15</v>
          </cell>
          <cell r="K432">
            <v>0.3</v>
          </cell>
          <cell r="P432">
            <v>2</v>
          </cell>
        </row>
        <row r="433">
          <cell r="B433" t="str">
            <v>XS</v>
          </cell>
          <cell r="C433">
            <v>2</v>
          </cell>
          <cell r="D433">
            <v>5.54</v>
          </cell>
          <cell r="E433">
            <v>1</v>
          </cell>
          <cell r="I433">
            <v>0.2</v>
          </cell>
          <cell r="J433">
            <v>0.25</v>
          </cell>
          <cell r="K433">
            <v>0.45</v>
          </cell>
          <cell r="P433">
            <v>2</v>
          </cell>
        </row>
        <row r="434">
          <cell r="B434" t="str">
            <v>XS</v>
          </cell>
          <cell r="C434">
            <v>2</v>
          </cell>
          <cell r="D434">
            <v>5.54</v>
          </cell>
          <cell r="E434">
            <v>1</v>
          </cell>
          <cell r="I434">
            <v>0.2</v>
          </cell>
          <cell r="J434">
            <v>0.25</v>
          </cell>
          <cell r="K434">
            <v>0.45</v>
          </cell>
          <cell r="P434">
            <v>2</v>
          </cell>
        </row>
        <row r="435">
          <cell r="B435" t="str">
            <v>XS</v>
          </cell>
          <cell r="C435">
            <v>2</v>
          </cell>
          <cell r="D435">
            <v>5.54</v>
          </cell>
          <cell r="E435">
            <v>1</v>
          </cell>
          <cell r="I435">
            <v>0.2</v>
          </cell>
          <cell r="J435">
            <v>0.25</v>
          </cell>
          <cell r="K435">
            <v>0.45</v>
          </cell>
          <cell r="P435">
            <v>2</v>
          </cell>
        </row>
        <row r="436">
          <cell r="B436" t="str">
            <v>XS</v>
          </cell>
          <cell r="C436">
            <v>2.5</v>
          </cell>
          <cell r="D436">
            <v>7.01</v>
          </cell>
          <cell r="E436">
            <v>1</v>
          </cell>
          <cell r="I436">
            <v>0.25</v>
          </cell>
          <cell r="J436">
            <v>0.5</v>
          </cell>
          <cell r="K436">
            <v>0.75</v>
          </cell>
          <cell r="P436">
            <v>2</v>
          </cell>
        </row>
        <row r="437">
          <cell r="B437" t="str">
            <v>XS</v>
          </cell>
          <cell r="C437">
            <v>3</v>
          </cell>
          <cell r="D437">
            <v>7.62</v>
          </cell>
          <cell r="E437">
            <v>1</v>
          </cell>
          <cell r="I437">
            <v>0.3</v>
          </cell>
          <cell r="J437">
            <v>0.6</v>
          </cell>
          <cell r="K437">
            <v>0.9</v>
          </cell>
          <cell r="P437">
            <v>2</v>
          </cell>
        </row>
        <row r="438">
          <cell r="B438" t="str">
            <v>XS</v>
          </cell>
          <cell r="C438">
            <v>3.5</v>
          </cell>
          <cell r="D438">
            <v>8.08</v>
          </cell>
          <cell r="E438">
            <v>1</v>
          </cell>
          <cell r="I438">
            <v>0.35</v>
          </cell>
          <cell r="J438">
            <v>0.85</v>
          </cell>
          <cell r="K438">
            <v>1.2</v>
          </cell>
          <cell r="P438">
            <v>3</v>
          </cell>
        </row>
        <row r="439">
          <cell r="B439" t="str">
            <v>XS</v>
          </cell>
          <cell r="C439">
            <v>4</v>
          </cell>
          <cell r="D439">
            <v>8.56</v>
          </cell>
          <cell r="E439">
            <v>1</v>
          </cell>
          <cell r="I439">
            <v>0.41</v>
          </cell>
          <cell r="J439">
            <v>0.93</v>
          </cell>
          <cell r="K439">
            <v>1.34</v>
          </cell>
          <cell r="P439">
            <v>3</v>
          </cell>
        </row>
        <row r="440">
          <cell r="B440" t="str">
            <v>XS</v>
          </cell>
          <cell r="C440">
            <v>5</v>
          </cell>
          <cell r="D440">
            <v>9.5299999999999994</v>
          </cell>
          <cell r="E440">
            <v>1</v>
          </cell>
          <cell r="I440">
            <v>0.51</v>
          </cell>
          <cell r="J440">
            <v>1.59</v>
          </cell>
          <cell r="K440">
            <v>2.1</v>
          </cell>
          <cell r="P440">
            <v>4</v>
          </cell>
        </row>
        <row r="441">
          <cell r="B441" t="str">
            <v>XS</v>
          </cell>
          <cell r="C441">
            <v>6</v>
          </cell>
          <cell r="D441">
            <v>10.97</v>
          </cell>
          <cell r="E441">
            <v>1.25</v>
          </cell>
          <cell r="I441">
            <v>0.61</v>
          </cell>
          <cell r="J441">
            <v>2.69</v>
          </cell>
          <cell r="K441">
            <v>3.3</v>
          </cell>
          <cell r="P441">
            <v>4</v>
          </cell>
        </row>
        <row r="442">
          <cell r="B442" t="str">
            <v>XS</v>
          </cell>
          <cell r="C442">
            <v>8</v>
          </cell>
          <cell r="D442">
            <v>12.7</v>
          </cell>
          <cell r="E442">
            <v>1.25</v>
          </cell>
          <cell r="I442">
            <v>0.81</v>
          </cell>
          <cell r="J442">
            <v>4.58</v>
          </cell>
          <cell r="K442">
            <v>5.39</v>
          </cell>
          <cell r="P442">
            <v>4</v>
          </cell>
        </row>
        <row r="443">
          <cell r="B443" t="str">
            <v>XS</v>
          </cell>
          <cell r="C443">
            <v>10</v>
          </cell>
          <cell r="D443">
            <v>12.7</v>
          </cell>
          <cell r="E443">
            <v>1.25</v>
          </cell>
          <cell r="I443">
            <v>1.01</v>
          </cell>
          <cell r="J443">
            <v>5.74</v>
          </cell>
          <cell r="K443">
            <v>6.75</v>
          </cell>
          <cell r="P443">
            <v>4</v>
          </cell>
        </row>
        <row r="444">
          <cell r="B444" t="str">
            <v>XS</v>
          </cell>
          <cell r="C444">
            <v>12</v>
          </cell>
          <cell r="D444">
            <v>12.7</v>
          </cell>
          <cell r="E444">
            <v>1.25</v>
          </cell>
          <cell r="I444">
            <v>1.22</v>
          </cell>
          <cell r="J444">
            <v>6.73</v>
          </cell>
          <cell r="K444">
            <v>7.95</v>
          </cell>
          <cell r="P444">
            <v>6</v>
          </cell>
        </row>
        <row r="445">
          <cell r="B445" t="str">
            <v>XS</v>
          </cell>
          <cell r="C445">
            <v>14</v>
          </cell>
          <cell r="D445">
            <v>12.7</v>
          </cell>
          <cell r="E445">
            <v>1.25</v>
          </cell>
          <cell r="I445">
            <v>1.42</v>
          </cell>
          <cell r="J445">
            <v>7.28</v>
          </cell>
          <cell r="K445">
            <v>8.6999999999999993</v>
          </cell>
          <cell r="P445">
            <v>6</v>
          </cell>
        </row>
        <row r="446">
          <cell r="B446" t="str">
            <v>XS</v>
          </cell>
          <cell r="C446">
            <v>16</v>
          </cell>
          <cell r="D446">
            <v>12.7</v>
          </cell>
          <cell r="E446">
            <v>1.25</v>
          </cell>
          <cell r="I446">
            <v>1.62</v>
          </cell>
          <cell r="J446">
            <v>8.42</v>
          </cell>
          <cell r="K446">
            <v>10.039999999999999</v>
          </cell>
          <cell r="P446">
            <v>6</v>
          </cell>
        </row>
        <row r="447">
          <cell r="B447" t="str">
            <v>XS</v>
          </cell>
          <cell r="C447">
            <v>18</v>
          </cell>
          <cell r="D447">
            <v>12.7</v>
          </cell>
          <cell r="E447">
            <v>1.25</v>
          </cell>
          <cell r="I447">
            <v>1.82</v>
          </cell>
          <cell r="J447">
            <v>9.42</v>
          </cell>
          <cell r="K447">
            <v>11.24</v>
          </cell>
          <cell r="P447">
            <v>6</v>
          </cell>
        </row>
        <row r="448">
          <cell r="B448" t="str">
            <v>XS</v>
          </cell>
          <cell r="C448">
            <v>20</v>
          </cell>
          <cell r="D448">
            <v>12.7</v>
          </cell>
          <cell r="E448">
            <v>1.25</v>
          </cell>
          <cell r="I448">
            <v>2.0299999999999998</v>
          </cell>
          <cell r="J448">
            <v>10.42</v>
          </cell>
          <cell r="K448">
            <v>12.45</v>
          </cell>
          <cell r="P448">
            <v>7</v>
          </cell>
        </row>
        <row r="449">
          <cell r="B449" t="str">
            <v>XS</v>
          </cell>
          <cell r="C449">
            <v>22</v>
          </cell>
          <cell r="D449">
            <v>12.7</v>
          </cell>
          <cell r="E449">
            <v>1.25</v>
          </cell>
          <cell r="I449">
            <v>2.23</v>
          </cell>
          <cell r="J449">
            <v>11.72</v>
          </cell>
          <cell r="K449">
            <v>13.95</v>
          </cell>
          <cell r="P449">
            <v>8</v>
          </cell>
        </row>
        <row r="450">
          <cell r="B450" t="str">
            <v>XS</v>
          </cell>
          <cell r="C450">
            <v>24</v>
          </cell>
          <cell r="D450">
            <v>12.7</v>
          </cell>
          <cell r="E450">
            <v>1.25</v>
          </cell>
          <cell r="I450">
            <v>2.4300000000000002</v>
          </cell>
          <cell r="J450">
            <v>12.57</v>
          </cell>
          <cell r="K450">
            <v>15</v>
          </cell>
          <cell r="P450">
            <v>8</v>
          </cell>
        </row>
        <row r="451">
          <cell r="B451" t="str">
            <v>XS</v>
          </cell>
          <cell r="C451">
            <v>26</v>
          </cell>
          <cell r="D451">
            <v>12.7</v>
          </cell>
          <cell r="E451">
            <v>1.25</v>
          </cell>
          <cell r="I451">
            <v>2.64</v>
          </cell>
          <cell r="J451">
            <v>13.86</v>
          </cell>
          <cell r="K451">
            <v>16.5</v>
          </cell>
          <cell r="P451">
            <v>9</v>
          </cell>
        </row>
        <row r="452">
          <cell r="B452" t="str">
            <v>XS</v>
          </cell>
          <cell r="C452">
            <v>28</v>
          </cell>
          <cell r="D452">
            <v>12.7</v>
          </cell>
          <cell r="E452">
            <v>1.25</v>
          </cell>
          <cell r="I452">
            <v>2.84</v>
          </cell>
          <cell r="J452">
            <v>15.16</v>
          </cell>
          <cell r="K452">
            <v>18</v>
          </cell>
          <cell r="P452">
            <v>9</v>
          </cell>
        </row>
        <row r="453">
          <cell r="B453" t="str">
            <v>XS</v>
          </cell>
          <cell r="C453">
            <v>30</v>
          </cell>
          <cell r="D453">
            <v>12.7</v>
          </cell>
          <cell r="E453">
            <v>1.25</v>
          </cell>
          <cell r="I453">
            <v>3.04</v>
          </cell>
          <cell r="J453">
            <v>16.45</v>
          </cell>
          <cell r="K453">
            <v>19.489999999999998</v>
          </cell>
          <cell r="P453">
            <v>10</v>
          </cell>
        </row>
        <row r="454">
          <cell r="B454" t="str">
            <v>XS</v>
          </cell>
          <cell r="C454">
            <v>32</v>
          </cell>
          <cell r="D454">
            <v>12.7</v>
          </cell>
          <cell r="E454">
            <v>1.25</v>
          </cell>
          <cell r="I454">
            <v>3.24</v>
          </cell>
          <cell r="J454">
            <v>17.75</v>
          </cell>
          <cell r="K454">
            <v>20.99</v>
          </cell>
          <cell r="P454">
            <v>11</v>
          </cell>
        </row>
        <row r="455">
          <cell r="B455" t="str">
            <v>XS</v>
          </cell>
          <cell r="C455">
            <v>34</v>
          </cell>
          <cell r="D455">
            <v>12.7</v>
          </cell>
          <cell r="E455">
            <v>1.25</v>
          </cell>
          <cell r="I455">
            <v>3.45</v>
          </cell>
          <cell r="J455">
            <v>18.54</v>
          </cell>
          <cell r="K455">
            <v>21.99</v>
          </cell>
          <cell r="P455">
            <v>12</v>
          </cell>
        </row>
        <row r="456">
          <cell r="B456" t="str">
            <v>XS</v>
          </cell>
          <cell r="C456">
            <v>36</v>
          </cell>
          <cell r="D456">
            <v>12.7</v>
          </cell>
          <cell r="E456">
            <v>1.25</v>
          </cell>
          <cell r="I456">
            <v>3.65</v>
          </cell>
          <cell r="J456">
            <v>18.84</v>
          </cell>
          <cell r="K456">
            <v>22.49</v>
          </cell>
          <cell r="P456">
            <v>12</v>
          </cell>
        </row>
        <row r="457">
          <cell r="B457" t="str">
            <v>XS</v>
          </cell>
          <cell r="C457">
            <v>38</v>
          </cell>
          <cell r="D457">
            <v>12.7</v>
          </cell>
          <cell r="E457">
            <v>1.25</v>
          </cell>
          <cell r="I457">
            <v>3.85</v>
          </cell>
          <cell r="J457">
            <v>19.89</v>
          </cell>
          <cell r="K457">
            <v>23.74</v>
          </cell>
          <cell r="P457">
            <v>13</v>
          </cell>
        </row>
        <row r="458">
          <cell r="B458" t="str">
            <v>XS</v>
          </cell>
          <cell r="C458">
            <v>40</v>
          </cell>
          <cell r="D458">
            <v>12.7</v>
          </cell>
          <cell r="E458">
            <v>1.25</v>
          </cell>
          <cell r="I458">
            <v>4.0599999999999996</v>
          </cell>
          <cell r="J458">
            <v>21.66</v>
          </cell>
          <cell r="K458">
            <v>25.72</v>
          </cell>
          <cell r="P458">
            <v>14</v>
          </cell>
        </row>
        <row r="459">
          <cell r="B459" t="str">
            <v>XS</v>
          </cell>
          <cell r="C459">
            <v>42</v>
          </cell>
          <cell r="D459">
            <v>12.7</v>
          </cell>
          <cell r="E459">
            <v>1.25</v>
          </cell>
          <cell r="I459">
            <v>4.26</v>
          </cell>
          <cell r="J459">
            <v>22.74</v>
          </cell>
          <cell r="K459">
            <v>27</v>
          </cell>
          <cell r="P459">
            <v>14</v>
          </cell>
        </row>
        <row r="460">
          <cell r="B460" t="str">
            <v>XS</v>
          </cell>
          <cell r="C460">
            <v>44</v>
          </cell>
          <cell r="D460">
            <v>12.7</v>
          </cell>
          <cell r="E460">
            <v>1.25</v>
          </cell>
          <cell r="I460">
            <v>4.47</v>
          </cell>
          <cell r="J460">
            <v>27.16</v>
          </cell>
          <cell r="K460">
            <v>31.63</v>
          </cell>
          <cell r="P460">
            <v>15</v>
          </cell>
        </row>
        <row r="461">
          <cell r="B461" t="str">
            <v>XS</v>
          </cell>
          <cell r="C461">
            <v>46</v>
          </cell>
          <cell r="D461">
            <v>12.7</v>
          </cell>
          <cell r="E461">
            <v>1.25</v>
          </cell>
          <cell r="I461">
            <v>4.67</v>
          </cell>
          <cell r="J461">
            <v>28.4</v>
          </cell>
          <cell r="K461">
            <v>33.07</v>
          </cell>
          <cell r="P461">
            <v>16</v>
          </cell>
        </row>
        <row r="462">
          <cell r="B462" t="str">
            <v>XS</v>
          </cell>
          <cell r="C462">
            <v>48</v>
          </cell>
          <cell r="D462">
            <v>12.7</v>
          </cell>
          <cell r="E462">
            <v>1.25</v>
          </cell>
          <cell r="I462">
            <v>4.87</v>
          </cell>
          <cell r="J462">
            <v>29.63</v>
          </cell>
          <cell r="K462">
            <v>34.5</v>
          </cell>
          <cell r="P462">
            <v>16</v>
          </cell>
        </row>
        <row r="463">
          <cell r="B463" t="str">
            <v>XXS</v>
          </cell>
          <cell r="C463">
            <v>0.5</v>
          </cell>
          <cell r="D463">
            <v>7.47</v>
          </cell>
          <cell r="E463">
            <v>1</v>
          </cell>
          <cell r="I463">
            <v>7.0000000000000007E-2</v>
          </cell>
          <cell r="J463">
            <v>0.23</v>
          </cell>
          <cell r="K463">
            <v>0.3</v>
          </cell>
          <cell r="P463">
            <v>2</v>
          </cell>
        </row>
        <row r="464">
          <cell r="B464" t="str">
            <v>XXS</v>
          </cell>
          <cell r="C464">
            <v>0.5</v>
          </cell>
          <cell r="D464">
            <v>7.47</v>
          </cell>
          <cell r="E464">
            <v>1</v>
          </cell>
          <cell r="I464">
            <v>7.0000000000000007E-2</v>
          </cell>
          <cell r="J464">
            <v>0.23</v>
          </cell>
          <cell r="K464">
            <v>0.3</v>
          </cell>
          <cell r="P464">
            <v>2</v>
          </cell>
        </row>
        <row r="465">
          <cell r="B465" t="str">
            <v>XXS</v>
          </cell>
          <cell r="C465">
            <v>0.5</v>
          </cell>
          <cell r="D465">
            <v>7.47</v>
          </cell>
          <cell r="E465">
            <v>1</v>
          </cell>
          <cell r="I465">
            <v>7.0000000000000007E-2</v>
          </cell>
          <cell r="J465">
            <v>0.23</v>
          </cell>
          <cell r="K465">
            <v>0.3</v>
          </cell>
          <cell r="P465">
            <v>2</v>
          </cell>
        </row>
        <row r="466">
          <cell r="B466" t="str">
            <v>XXS</v>
          </cell>
          <cell r="C466">
            <v>0.75</v>
          </cell>
          <cell r="D466">
            <v>7.82</v>
          </cell>
          <cell r="E466">
            <v>1</v>
          </cell>
          <cell r="I466">
            <v>0.08</v>
          </cell>
          <cell r="J466">
            <v>0.22</v>
          </cell>
          <cell r="K466">
            <v>0.3</v>
          </cell>
          <cell r="P466">
            <v>2</v>
          </cell>
        </row>
        <row r="467">
          <cell r="B467" t="str">
            <v>XXS</v>
          </cell>
          <cell r="C467">
            <v>0.75</v>
          </cell>
          <cell r="D467">
            <v>7.82</v>
          </cell>
          <cell r="E467">
            <v>1</v>
          </cell>
          <cell r="I467">
            <v>0.08</v>
          </cell>
          <cell r="J467">
            <v>0.22</v>
          </cell>
          <cell r="K467">
            <v>0.3</v>
          </cell>
          <cell r="P467">
            <v>2</v>
          </cell>
        </row>
        <row r="468">
          <cell r="B468" t="str">
            <v>XXS</v>
          </cell>
          <cell r="C468">
            <v>0.75</v>
          </cell>
          <cell r="D468">
            <v>7.82</v>
          </cell>
          <cell r="E468">
            <v>1</v>
          </cell>
          <cell r="I468">
            <v>0.08</v>
          </cell>
          <cell r="J468">
            <v>0.22</v>
          </cell>
          <cell r="K468">
            <v>0.3</v>
          </cell>
          <cell r="P468">
            <v>2</v>
          </cell>
        </row>
        <row r="469">
          <cell r="B469" t="str">
            <v>XXS</v>
          </cell>
          <cell r="C469">
            <v>1</v>
          </cell>
          <cell r="D469">
            <v>9.09</v>
          </cell>
          <cell r="E469">
            <v>1</v>
          </cell>
          <cell r="I469">
            <v>0.1</v>
          </cell>
          <cell r="J469">
            <v>0.5</v>
          </cell>
          <cell r="K469">
            <v>0.6</v>
          </cell>
          <cell r="P469">
            <v>2</v>
          </cell>
        </row>
        <row r="470">
          <cell r="B470" t="str">
            <v>XXS</v>
          </cell>
          <cell r="C470">
            <v>1</v>
          </cell>
          <cell r="D470">
            <v>9.09</v>
          </cell>
          <cell r="E470">
            <v>1</v>
          </cell>
          <cell r="I470">
            <v>0.1</v>
          </cell>
          <cell r="J470">
            <v>0.5</v>
          </cell>
          <cell r="K470">
            <v>0.6</v>
          </cell>
          <cell r="P470">
            <v>2</v>
          </cell>
        </row>
        <row r="471">
          <cell r="B471" t="str">
            <v>XXS</v>
          </cell>
          <cell r="C471">
            <v>1</v>
          </cell>
          <cell r="D471">
            <v>9.09</v>
          </cell>
          <cell r="E471">
            <v>1</v>
          </cell>
          <cell r="I471">
            <v>0.1</v>
          </cell>
          <cell r="J471">
            <v>0.5</v>
          </cell>
          <cell r="K471">
            <v>0.6</v>
          </cell>
          <cell r="P471">
            <v>2</v>
          </cell>
        </row>
        <row r="472">
          <cell r="B472" t="str">
            <v>XXS</v>
          </cell>
          <cell r="C472">
            <v>1.25</v>
          </cell>
          <cell r="D472">
            <v>9.6999999999999993</v>
          </cell>
          <cell r="E472">
            <v>1</v>
          </cell>
          <cell r="I472">
            <v>0.13</v>
          </cell>
          <cell r="J472">
            <v>0.67</v>
          </cell>
          <cell r="K472">
            <v>0.8</v>
          </cell>
          <cell r="P472">
            <v>2</v>
          </cell>
        </row>
        <row r="473">
          <cell r="B473" t="str">
            <v>XXS</v>
          </cell>
          <cell r="C473">
            <v>1.25</v>
          </cell>
          <cell r="D473">
            <v>9.6999999999999993</v>
          </cell>
          <cell r="E473">
            <v>1</v>
          </cell>
          <cell r="I473">
            <v>0.13</v>
          </cell>
          <cell r="J473">
            <v>0.67</v>
          </cell>
          <cell r="K473">
            <v>0.8</v>
          </cell>
          <cell r="P473">
            <v>2</v>
          </cell>
        </row>
        <row r="474">
          <cell r="B474" t="str">
            <v>XXS</v>
          </cell>
          <cell r="C474">
            <v>1.25</v>
          </cell>
          <cell r="D474">
            <v>9.6999999999999993</v>
          </cell>
          <cell r="E474">
            <v>1</v>
          </cell>
          <cell r="I474">
            <v>0.13</v>
          </cell>
          <cell r="J474">
            <v>0.67</v>
          </cell>
          <cell r="K474">
            <v>0.8</v>
          </cell>
          <cell r="P474">
            <v>2</v>
          </cell>
        </row>
        <row r="475">
          <cell r="B475" t="str">
            <v>XXS</v>
          </cell>
          <cell r="C475">
            <v>1.5</v>
          </cell>
          <cell r="D475">
            <v>10.15</v>
          </cell>
          <cell r="E475">
            <v>1.25</v>
          </cell>
          <cell r="I475">
            <v>0.15</v>
          </cell>
          <cell r="J475">
            <v>0.75</v>
          </cell>
          <cell r="K475">
            <v>0.9</v>
          </cell>
          <cell r="P475">
            <v>2</v>
          </cell>
        </row>
        <row r="476">
          <cell r="B476" t="str">
            <v>XXS</v>
          </cell>
          <cell r="C476">
            <v>1.5</v>
          </cell>
          <cell r="D476">
            <v>10.15</v>
          </cell>
          <cell r="E476">
            <v>1.25</v>
          </cell>
          <cell r="I476">
            <v>0.15</v>
          </cell>
          <cell r="J476">
            <v>0.75</v>
          </cell>
          <cell r="K476">
            <v>0.9</v>
          </cell>
          <cell r="P476">
            <v>2</v>
          </cell>
        </row>
        <row r="477">
          <cell r="B477" t="str">
            <v>XXS</v>
          </cell>
          <cell r="C477">
            <v>1.5</v>
          </cell>
          <cell r="D477">
            <v>10.15</v>
          </cell>
          <cell r="E477">
            <v>1.25</v>
          </cell>
          <cell r="I477">
            <v>0.15</v>
          </cell>
          <cell r="J477">
            <v>0.75</v>
          </cell>
          <cell r="K477">
            <v>0.9</v>
          </cell>
          <cell r="P477">
            <v>2</v>
          </cell>
        </row>
        <row r="478">
          <cell r="B478" t="str">
            <v>XXS</v>
          </cell>
          <cell r="C478">
            <v>2</v>
          </cell>
          <cell r="D478">
            <v>11.07</v>
          </cell>
          <cell r="E478">
            <v>1.25</v>
          </cell>
          <cell r="I478">
            <v>0.2</v>
          </cell>
          <cell r="J478">
            <v>1</v>
          </cell>
          <cell r="K478">
            <v>1.2</v>
          </cell>
          <cell r="P478">
            <v>4</v>
          </cell>
        </row>
        <row r="479">
          <cell r="B479" t="str">
            <v>XXS</v>
          </cell>
          <cell r="C479">
            <v>2</v>
          </cell>
          <cell r="D479">
            <v>11.07</v>
          </cell>
          <cell r="E479">
            <v>1.25</v>
          </cell>
          <cell r="I479">
            <v>0.2</v>
          </cell>
          <cell r="J479">
            <v>1</v>
          </cell>
          <cell r="K479">
            <v>1.2</v>
          </cell>
          <cell r="P479">
            <v>4</v>
          </cell>
        </row>
        <row r="480">
          <cell r="B480" t="str">
            <v>XXS</v>
          </cell>
          <cell r="C480">
            <v>2</v>
          </cell>
          <cell r="D480">
            <v>11.07</v>
          </cell>
          <cell r="E480">
            <v>1.25</v>
          </cell>
          <cell r="I480">
            <v>0.2</v>
          </cell>
          <cell r="J480">
            <v>1</v>
          </cell>
          <cell r="K480">
            <v>1.2</v>
          </cell>
          <cell r="P480">
            <v>4</v>
          </cell>
        </row>
        <row r="481">
          <cell r="B481" t="str">
            <v>XXS</v>
          </cell>
          <cell r="C481">
            <v>2.5</v>
          </cell>
          <cell r="D481">
            <v>14.02</v>
          </cell>
          <cell r="E481">
            <v>1.25</v>
          </cell>
          <cell r="I481">
            <v>0.25</v>
          </cell>
          <cell r="J481">
            <v>1.7</v>
          </cell>
          <cell r="K481">
            <v>1.95</v>
          </cell>
          <cell r="P481">
            <v>4</v>
          </cell>
        </row>
        <row r="482">
          <cell r="B482" t="str">
            <v>XXS</v>
          </cell>
          <cell r="C482">
            <v>3</v>
          </cell>
          <cell r="D482">
            <v>15.24</v>
          </cell>
          <cell r="E482">
            <v>1.5</v>
          </cell>
          <cell r="I482">
            <v>0.3</v>
          </cell>
          <cell r="J482">
            <v>2.39</v>
          </cell>
          <cell r="K482">
            <v>2.69</v>
          </cell>
          <cell r="P482">
            <v>4</v>
          </cell>
        </row>
        <row r="483">
          <cell r="B483" t="str">
            <v>XXS</v>
          </cell>
          <cell r="C483">
            <v>4</v>
          </cell>
          <cell r="D483">
            <v>17.12</v>
          </cell>
          <cell r="E483">
            <v>1.5</v>
          </cell>
          <cell r="I483">
            <v>0.41</v>
          </cell>
          <cell r="J483">
            <v>4.09</v>
          </cell>
          <cell r="K483">
            <v>4.5</v>
          </cell>
          <cell r="P483">
            <v>4</v>
          </cell>
        </row>
        <row r="484">
          <cell r="B484" t="str">
            <v>XXS</v>
          </cell>
          <cell r="C484">
            <v>5</v>
          </cell>
          <cell r="D484">
            <v>19.05</v>
          </cell>
          <cell r="E484">
            <v>2</v>
          </cell>
          <cell r="I484">
            <v>0.51</v>
          </cell>
          <cell r="J484">
            <v>4.43</v>
          </cell>
          <cell r="K484">
            <v>4.9400000000000004</v>
          </cell>
          <cell r="P484">
            <v>4</v>
          </cell>
        </row>
        <row r="485">
          <cell r="B485" t="str">
            <v>XXS</v>
          </cell>
          <cell r="C485">
            <v>6</v>
          </cell>
          <cell r="D485">
            <v>21.95</v>
          </cell>
          <cell r="E485">
            <v>2</v>
          </cell>
          <cell r="I485">
            <v>0.61</v>
          </cell>
          <cell r="J485">
            <v>8.09</v>
          </cell>
          <cell r="K485">
            <v>8.6999999999999993</v>
          </cell>
          <cell r="P485">
            <v>4</v>
          </cell>
        </row>
        <row r="486">
          <cell r="B486" t="str">
            <v>XXS</v>
          </cell>
          <cell r="C486">
            <v>8</v>
          </cell>
          <cell r="D486">
            <v>22.23</v>
          </cell>
          <cell r="E486">
            <v>2</v>
          </cell>
          <cell r="I486">
            <v>0.81</v>
          </cell>
          <cell r="J486">
            <v>11.49</v>
          </cell>
          <cell r="K486">
            <v>12.3</v>
          </cell>
          <cell r="P486">
            <v>4</v>
          </cell>
        </row>
        <row r="487">
          <cell r="B487" t="str">
            <v>XXS</v>
          </cell>
          <cell r="C487">
            <v>10</v>
          </cell>
          <cell r="D487">
            <v>25.4</v>
          </cell>
          <cell r="E487" t="str">
            <v>N</v>
          </cell>
          <cell r="I487">
            <v>1.01</v>
          </cell>
          <cell r="J487">
            <v>18.489999999999998</v>
          </cell>
          <cell r="K487">
            <v>19.5</v>
          </cell>
          <cell r="P487">
            <v>4</v>
          </cell>
        </row>
        <row r="488">
          <cell r="B488" t="str">
            <v>XXS</v>
          </cell>
          <cell r="C488">
            <v>12</v>
          </cell>
          <cell r="D488">
            <v>25.4</v>
          </cell>
          <cell r="E488" t="str">
            <v>N</v>
          </cell>
          <cell r="I488">
            <v>1.22</v>
          </cell>
          <cell r="J488">
            <v>21.27</v>
          </cell>
          <cell r="K488">
            <v>22.49</v>
          </cell>
          <cell r="P488">
            <v>6</v>
          </cell>
        </row>
        <row r="489">
          <cell r="B489">
            <v>8.73</v>
          </cell>
          <cell r="C489">
            <v>64</v>
          </cell>
          <cell r="D489">
            <v>8.73</v>
          </cell>
          <cell r="E489">
            <v>1</v>
          </cell>
          <cell r="I489">
            <v>6.49</v>
          </cell>
          <cell r="J489">
            <v>20.29</v>
          </cell>
          <cell r="K489">
            <v>26.78</v>
          </cell>
          <cell r="P489">
            <v>21</v>
          </cell>
        </row>
      </sheetData>
      <sheetData sheetId="1">
        <row r="8">
          <cell r="A8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heet1"/>
      <sheetName val="Sheet2"/>
      <sheetName val="Sheet3"/>
      <sheetName val="EFFICIENCY"/>
      <sheetName val="DS TỔNG"/>
      <sheetName val="CHART"/>
      <sheetName val="DS"/>
      <sheetName val="danh sách"/>
      <sheetName val="DỮ LIỆU"/>
      <sheetName val="head count tổng"/>
      <sheetName val="DANH SÁCH TỔNG B2 + B3"/>
      <sheetName val="danh sách b2 "/>
      <sheetName val="gate pass"/>
      <sheetName val="danh sách nguyên góp"/>
      <sheetName val="tăng ca đột xuất "/>
      <sheetName val="DS CA ĐÊM B3"/>
      <sheetName val="SIZE ÁO"/>
      <sheetName val="QUẢN LÝ B2 + B3"/>
      <sheetName val="dsach tranining  (2)"/>
      <sheetName val="group trùng"/>
    </sheetNames>
    <sheetDataSet>
      <sheetData sheetId="0" refreshError="1">
        <row r="16">
          <cell r="I16">
            <v>31.945</v>
          </cell>
        </row>
      </sheetData>
      <sheetData sheetId="1" refreshError="1"/>
      <sheetData sheetId="2" refreshError="1"/>
      <sheetData sheetId="3" refreshError="1"/>
      <sheetData sheetId="4">
        <row r="16">
          <cell r="I16">
            <v>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NG HOP KINH PHI"/>
      <sheetName val="VAN PHONG"/>
      <sheetName val="CANTEEN"/>
      <sheetName val="TUONG CHAN DAT"/>
      <sheetName val="MONG MAY"/>
      <sheetName val="BON NGUYEN LIEU"/>
      <sheetName val="BON NUOC"/>
      <sheetName val="HE THONG NUOC"/>
      <sheetName val="HE THONG DIEN"/>
      <sheetName val="00000000"/>
      <sheetName val="10000000"/>
      <sheetName val="20000000"/>
      <sheetName val="30000000"/>
      <sheetName val="40000000"/>
      <sheetName val="50000000"/>
      <sheetName val="60000000"/>
      <sheetName val="XL4Pop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5">
          <cell r="A15" t="b">
            <v>1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64E8F1-8A91-4A20-ABD9-9E1E31328EB3}" autoFormatId="16" applyNumberFormats="0" applyBorderFormats="0" applyFontFormats="0" applyPatternFormats="0" applyAlignmentFormats="0" applyWidthHeightFormats="0">
  <queryTableRefresh nextId="78">
    <queryTableFields count="9">
      <queryTableField id="74" name="Emp Code.1" tableColumnId="1"/>
      <queryTableField id="75" name="Emp Code.2" tableColumnId="2"/>
      <queryTableField id="3" name="Line/ Team" tableColumnId="3"/>
      <queryTableField id="4" name="Fullname" tableColumnId="4"/>
      <queryTableField id="5" name="Working/Resigned" tableColumnId="5"/>
      <queryTableField id="11" name="Department" tableColumnId="11"/>
      <queryTableField id="12" name="Section" tableColumnId="12"/>
      <queryTableField id="13" name="Group" tableColumnId="13"/>
      <queryTableField id="16" name="Position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api.excelapi.org/other/qrcode?text=20240513083550%3B%2020240513%3B%2020240513%2017%3A00%2019%3A00%3B%200009%20%20%20%20%20%20%20%20%20%20%20%20%20%20%20%20%20%20%20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5C91A6-482B-4538-9228-C42EB300B887}" name="Sum_1" displayName="Sum_1" ref="A1:I654" tableType="queryTable" totalsRowShown="0">
  <autoFilter ref="A1:I654" xr:uid="{0C5C91A6-482B-4538-9228-C42EB300B887}"/>
  <tableColumns count="9">
    <tableColumn id="1" xr3:uid="{930AA9ED-E8B8-49C7-BE28-B0692988C698}" uniqueName="1" name="Emp Code.1" queryTableFieldId="74" dataDxfId="7"/>
    <tableColumn id="2" xr3:uid="{DEF6C4FA-659D-43AF-BAB4-536BE50203A3}" uniqueName="2" name="Emp Code.2" queryTableFieldId="75" dataDxfId="6"/>
    <tableColumn id="3" xr3:uid="{B420782E-8856-4D5F-9BAD-612EB468D23A}" uniqueName="3" name="Line/ Team" queryTableFieldId="3" dataDxfId="5"/>
    <tableColumn id="4" xr3:uid="{0B37CCD2-125D-4438-AD09-5C99356B9526}" uniqueName="4" name="Fullname" queryTableFieldId="4" dataDxfId="4"/>
    <tableColumn id="5" xr3:uid="{03BFCFD8-F7D5-442F-B480-E79D8F9EEF5B}" uniqueName="5" name="Working/Resigned" queryTableFieldId="5"/>
    <tableColumn id="11" xr3:uid="{05EAA013-3F7B-4014-949B-B478DAE36638}" uniqueName="11" name="Department" queryTableFieldId="11" dataDxfId="3"/>
    <tableColumn id="12" xr3:uid="{33DAC397-0676-4C64-B854-1F1CC3B3E531}" uniqueName="12" name="Section" queryTableFieldId="12" dataDxfId="2"/>
    <tableColumn id="13" xr3:uid="{C7D711DB-F9AA-4252-B862-94E47E793BC1}" uniqueName="13" name="Group" queryTableFieldId="13" dataDxfId="1"/>
    <tableColumn id="16" xr3:uid="{744D9489-2D5B-4871-9AA9-D386BD2E142B}" uniqueName="16" name="Position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C084-380F-43A7-8CFC-358ED19D644B}">
  <sheetPr codeName="Sheet1">
    <pageSetUpPr fitToPage="1"/>
  </sheetPr>
  <dimension ref="B1:T52"/>
  <sheetViews>
    <sheetView showGridLines="0" tabSelected="1" view="pageBreakPreview" topLeftCell="A23" zoomScale="85" zoomScaleNormal="85" zoomScaleSheetLayoutView="85" workbookViewId="0">
      <selection activeCell="G23" sqref="G23"/>
    </sheetView>
  </sheetViews>
  <sheetFormatPr defaultColWidth="9.109375" defaultRowHeight="16.8"/>
  <cols>
    <col min="1" max="1" width="0.5546875" style="16" customWidth="1"/>
    <col min="2" max="2" width="5.33203125" style="16" customWidth="1"/>
    <col min="3" max="3" width="5.88671875" style="16" customWidth="1"/>
    <col min="4" max="4" width="3.109375" style="16" customWidth="1"/>
    <col min="5" max="5" width="9.5546875" style="16" customWidth="1"/>
    <col min="6" max="6" width="18.77734375" style="16" customWidth="1"/>
    <col min="7" max="7" width="11.6640625" style="16" customWidth="1"/>
    <col min="8" max="8" width="7.44140625" style="16" customWidth="1"/>
    <col min="9" max="9" width="16.109375" style="16" customWidth="1"/>
    <col min="10" max="10" width="12.44140625" style="16" customWidth="1"/>
    <col min="11" max="11" width="8.44140625" style="16" customWidth="1"/>
    <col min="12" max="12" width="2.5546875" style="16" customWidth="1"/>
    <col min="13" max="13" width="7.109375" style="16" customWidth="1"/>
    <col min="14" max="14" width="10" style="16" customWidth="1"/>
    <col min="15" max="15" width="6.33203125" style="16" customWidth="1"/>
    <col min="16" max="16" width="20.21875" style="16" customWidth="1"/>
    <col min="17" max="19" width="9.109375" style="16"/>
    <col min="20" max="20" width="130.33203125" style="17" customWidth="1"/>
    <col min="21" max="16384" width="9.109375" style="16"/>
  </cols>
  <sheetData>
    <row r="1" spans="2:20" hidden="1">
      <c r="E1" s="56" t="s">
        <v>777</v>
      </c>
      <c r="F1" s="57" t="str">
        <f ca="1">TEXT(NOW(),"yyyymmddHHmmss")</f>
        <v>20240513083550</v>
      </c>
      <c r="H1" s="16" t="s">
        <v>781</v>
      </c>
      <c r="I1" s="58" t="s">
        <v>782</v>
      </c>
    </row>
    <row r="2" spans="2:20" hidden="1">
      <c r="E2" s="56" t="s">
        <v>778</v>
      </c>
      <c r="F2" s="56" t="str">
        <f ca="1">F1  &amp;"; " &amp;IF(YEAR(F8)&gt;1900,TEXT(F8,"yyyymmdd"))&amp;"; "
&amp;IF(YEAR(D12)&gt;1900,TEXT(D12,"yyyymmdd") &amp;" "&amp;TEXT(J12,"HH:mm")&amp;" " &amp;TEXT(L12,"HH:mm"),"")
&amp;IF(YEAR(D13)&gt;1900, ", " &amp;TEXT(D13,"yyyymmdd") &amp;" "&amp;TEXT(J13,"HH:mm")&amp;" " &amp;TEXT(L13,"HH:mm"),"")
&amp;IF(YEAR(D14)&gt;1900,", " &amp;TEXT(D14,"yyyymmdd") &amp;" "&amp;TEXT(J14,"HH:mm")&amp;" " &amp;TEXT(L14,"HH:mm"),"")
&amp;IF(YEAR(D15)&gt;1900,", " &amp;TEXT(D15,"yyyymmdd") &amp;" "&amp;TEXT(J15,"HH:mm")&amp;" " &amp;TEXT(L15,"HH:mm"),"")
&amp;IF(YEAR(D16)&gt;1900,", " &amp;TEXT(D16,"yyyymmdd") &amp;" "&amp;TEXT(J16,"HH:mm")&amp;" " &amp;TEXT(L16,"HH:mm"),"" )
&amp;IF(YEAR(D17)&gt;1900,", "&amp; TEXT(D17,"yyyymmdd") &amp;" "&amp;TEXT(J17,"HH:mm")&amp;" " &amp;TEXT(L17,"HH:mm"),"")
&amp;IF(YEAR(D18)&gt;1900,", "&amp;TEXT(D18,"yyyymmdd") &amp;" "&amp;TEXT(J18,"HH:mm")&amp;" " &amp;TEXT(L18,"HH:mm"),"") &amp;"; "
&amp;G22&amp;" "&amp;G23&amp;" "&amp;G23&amp;" "&amp;G24&amp;" "&amp;G26&amp;" "&amp;G27&amp;" "&amp;G28&amp;" "&amp;G29&amp;" "&amp;G30&amp;" "&amp;G31&amp;" "&amp;G32&amp;" "&amp;G33&amp;" "&amp;G34&amp;" "&amp;G35&amp;" "&amp;G36&amp;" "&amp;G37&amp;" "&amp;G38&amp;" "&amp;G39&amp;" "&amp;G40&amp;" "&amp;G41</f>
        <v xml:space="preserve">20240513083550; 20240513; 20240513 17:00 19:00; 0009                   </v>
      </c>
    </row>
    <row r="3" spans="2:20">
      <c r="B3" s="59"/>
      <c r="C3" s="59"/>
      <c r="D3" s="59"/>
      <c r="E3" s="59"/>
      <c r="N3" s="60" t="s">
        <v>783</v>
      </c>
      <c r="O3" s="61" t="str">
        <f ca="1">F1</f>
        <v>20240513083550</v>
      </c>
      <c r="P3" s="61"/>
    </row>
    <row r="4" spans="2:20" ht="130.19999999999999" customHeight="1">
      <c r="B4" s="62" t="s">
        <v>775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3" t="e" vm="1">
        <f ca="1">_xlfn.IMAGE("https://api.excelapi.org/other/qrcode?text="&amp;_xlfn.ENCODEURL(F2))</f>
        <v>#VALUE!</v>
      </c>
      <c r="O4" s="63"/>
      <c r="P4" s="63"/>
      <c r="T4" s="64" t="s">
        <v>1447</v>
      </c>
    </row>
    <row r="5" spans="2:20" s="65" customFormat="1" ht="31.8" customHeight="1">
      <c r="B5" s="66" t="s">
        <v>31</v>
      </c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T5" s="67" t="s">
        <v>1445</v>
      </c>
    </row>
    <row r="6" spans="2:20" s="68" customFormat="1" ht="25.2" customHeight="1">
      <c r="B6" s="69" t="s">
        <v>33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T6" s="67" t="s">
        <v>1446</v>
      </c>
    </row>
    <row r="7" spans="2:20" ht="19.350000000000001" customHeight="1">
      <c r="T7" s="70" t="s">
        <v>1441</v>
      </c>
    </row>
    <row r="8" spans="2:20" ht="19.350000000000001" customHeight="1">
      <c r="B8" s="16" t="s">
        <v>21</v>
      </c>
      <c r="F8" s="6">
        <f ca="1">TODAY()</f>
        <v>45425</v>
      </c>
      <c r="G8" s="16" t="s">
        <v>22</v>
      </c>
      <c r="T8" s="47" t="s">
        <v>1442</v>
      </c>
    </row>
    <row r="9" spans="2:20" ht="26.4" customHeight="1">
      <c r="B9" s="55" t="s">
        <v>23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T9" s="47" t="s">
        <v>1443</v>
      </c>
    </row>
    <row r="10" spans="2:20" s="45" customFormat="1" ht="19.5" customHeight="1">
      <c r="B10" s="54" t="s">
        <v>32</v>
      </c>
      <c r="D10" s="12" t="s">
        <v>46</v>
      </c>
      <c r="E10" s="12"/>
      <c r="F10" s="12"/>
      <c r="N10" s="53" t="s">
        <v>18</v>
      </c>
      <c r="O10" s="15" t="s">
        <v>63</v>
      </c>
      <c r="P10" s="15"/>
      <c r="T10" s="47" t="s">
        <v>1444</v>
      </c>
    </row>
    <row r="11" spans="2:20" s="49" customFormat="1" ht="15.6" customHeight="1">
      <c r="B11" s="50" t="s">
        <v>19</v>
      </c>
      <c r="J11" s="50"/>
      <c r="K11" s="51"/>
      <c r="N11" s="49" t="s">
        <v>0</v>
      </c>
      <c r="T11" s="52"/>
    </row>
    <row r="12" spans="2:20" s="45" customFormat="1" ht="20.25" customHeight="1">
      <c r="B12" s="16" t="s">
        <v>774</v>
      </c>
      <c r="C12" s="16"/>
      <c r="D12" s="11">
        <f ca="1">TODAY()</f>
        <v>45425</v>
      </c>
      <c r="E12" s="11"/>
      <c r="F12" s="11"/>
      <c r="G12" s="48"/>
      <c r="H12" s="16" t="s">
        <v>25</v>
      </c>
      <c r="I12" s="16"/>
      <c r="J12" s="7" t="str">
        <f t="shared" ref="J12:J16" ca="1" si="0">IF(YEAR(D12)&gt;1900,"17:00","")</f>
        <v>17:00</v>
      </c>
      <c r="K12" s="16" t="s">
        <v>30</v>
      </c>
      <c r="L12" s="41">
        <f ca="1">IF(LEN(J12)&gt;0,J12+TIME(2,0,0),"")</f>
        <v>0.79166666666666674</v>
      </c>
      <c r="M12" s="41"/>
      <c r="N12" s="42" t="s">
        <v>11</v>
      </c>
      <c r="O12" s="43">
        <f ca="1">IF(LEN(J12)&gt;0,INT((L12-J12)*24),0)</f>
        <v>2</v>
      </c>
      <c r="P12" s="44" t="s">
        <v>12</v>
      </c>
      <c r="T12" s="46" t="s">
        <v>1448</v>
      </c>
    </row>
    <row r="13" spans="2:20" s="45" customFormat="1" ht="20.25" customHeight="1">
      <c r="B13" s="16" t="s">
        <v>24</v>
      </c>
      <c r="C13" s="16"/>
      <c r="D13" s="11"/>
      <c r="E13" s="11"/>
      <c r="F13" s="11"/>
      <c r="G13" s="16"/>
      <c r="H13" s="16" t="s">
        <v>25</v>
      </c>
      <c r="I13" s="16"/>
      <c r="J13" s="7" t="str">
        <f t="shared" si="0"/>
        <v/>
      </c>
      <c r="K13" s="16" t="s">
        <v>30</v>
      </c>
      <c r="L13" s="41" t="str">
        <f>IF(LEN(J13)&gt;0,J13+TIME(2,0,0),"")</f>
        <v/>
      </c>
      <c r="M13" s="41"/>
      <c r="N13" s="42" t="s">
        <v>11</v>
      </c>
      <c r="O13" s="43">
        <f>IF(LEN(J13)&gt;0,INT((L13-J13)*24),0)</f>
        <v>0</v>
      </c>
      <c r="P13" s="44" t="s">
        <v>12</v>
      </c>
      <c r="T13" s="47"/>
    </row>
    <row r="14" spans="2:20" s="45" customFormat="1" ht="20.25" customHeight="1">
      <c r="B14" s="16" t="s">
        <v>24</v>
      </c>
      <c r="C14" s="16"/>
      <c r="D14" s="11"/>
      <c r="E14" s="11"/>
      <c r="F14" s="11"/>
      <c r="G14" s="16"/>
      <c r="H14" s="16" t="s">
        <v>25</v>
      </c>
      <c r="I14" s="16"/>
      <c r="J14" s="7" t="str">
        <f t="shared" si="0"/>
        <v/>
      </c>
      <c r="K14" s="16" t="s">
        <v>30</v>
      </c>
      <c r="L14" s="41" t="str">
        <f t="shared" ref="L14:L18" si="1">IF(LEN(J14)&gt;0,J14+TIME(2,0,0),"")</f>
        <v/>
      </c>
      <c r="M14" s="41"/>
      <c r="N14" s="42" t="s">
        <v>11</v>
      </c>
      <c r="O14" s="43">
        <f t="shared" ref="O14:O18" si="2">IF(LEN(J14)&gt;0,INT((L14-J14)*24),0)</f>
        <v>0</v>
      </c>
      <c r="P14" s="44" t="s">
        <v>12</v>
      </c>
      <c r="T14" s="47"/>
    </row>
    <row r="15" spans="2:20" s="45" customFormat="1" ht="20.25" customHeight="1">
      <c r="B15" s="16" t="s">
        <v>24</v>
      </c>
      <c r="C15" s="16"/>
      <c r="D15" s="11"/>
      <c r="E15" s="11"/>
      <c r="F15" s="11"/>
      <c r="G15" s="16"/>
      <c r="H15" s="16" t="s">
        <v>25</v>
      </c>
      <c r="I15" s="16"/>
      <c r="J15" s="7" t="str">
        <f t="shared" si="0"/>
        <v/>
      </c>
      <c r="K15" s="16" t="s">
        <v>30</v>
      </c>
      <c r="L15" s="41" t="str">
        <f t="shared" si="1"/>
        <v/>
      </c>
      <c r="M15" s="41"/>
      <c r="N15" s="42" t="s">
        <v>11</v>
      </c>
      <c r="O15" s="43">
        <f t="shared" si="2"/>
        <v>0</v>
      </c>
      <c r="P15" s="44" t="s">
        <v>12</v>
      </c>
      <c r="T15" s="47"/>
    </row>
    <row r="16" spans="2:20" s="45" customFormat="1" ht="20.25" customHeight="1">
      <c r="B16" s="16" t="s">
        <v>24</v>
      </c>
      <c r="C16" s="16"/>
      <c r="D16" s="11"/>
      <c r="E16" s="11"/>
      <c r="F16" s="11"/>
      <c r="G16" s="16"/>
      <c r="H16" s="16" t="s">
        <v>25</v>
      </c>
      <c r="I16" s="16"/>
      <c r="J16" s="7" t="str">
        <f t="shared" si="0"/>
        <v/>
      </c>
      <c r="K16" s="16" t="s">
        <v>30</v>
      </c>
      <c r="L16" s="41" t="str">
        <f t="shared" si="1"/>
        <v/>
      </c>
      <c r="M16" s="41"/>
      <c r="N16" s="42" t="s">
        <v>11</v>
      </c>
      <c r="O16" s="43">
        <f t="shared" si="2"/>
        <v>0</v>
      </c>
      <c r="P16" s="44" t="s">
        <v>12</v>
      </c>
      <c r="T16" s="47"/>
    </row>
    <row r="17" spans="2:20" s="45" customFormat="1" ht="20.25" customHeight="1">
      <c r="B17" s="16" t="s">
        <v>24</v>
      </c>
      <c r="C17" s="16"/>
      <c r="D17" s="11"/>
      <c r="E17" s="11"/>
      <c r="F17" s="11"/>
      <c r="G17" s="16"/>
      <c r="H17" s="16" t="s">
        <v>25</v>
      </c>
      <c r="I17" s="16"/>
      <c r="J17" s="7" t="str">
        <f t="shared" ref="J17:J18" si="3">IF(YEAR(D17)&gt;1900,"17:00","")</f>
        <v/>
      </c>
      <c r="K17" s="16" t="s">
        <v>30</v>
      </c>
      <c r="L17" s="41" t="str">
        <f t="shared" si="1"/>
        <v/>
      </c>
      <c r="M17" s="41"/>
      <c r="N17" s="42" t="s">
        <v>11</v>
      </c>
      <c r="O17" s="43">
        <f t="shared" si="2"/>
        <v>0</v>
      </c>
      <c r="P17" s="44" t="s">
        <v>12</v>
      </c>
      <c r="T17" s="47"/>
    </row>
    <row r="18" spans="2:20" s="45" customFormat="1" ht="20.25" customHeight="1">
      <c r="B18" s="16" t="s">
        <v>24</v>
      </c>
      <c r="C18" s="16"/>
      <c r="D18" s="11"/>
      <c r="E18" s="11"/>
      <c r="F18" s="11"/>
      <c r="G18" s="16"/>
      <c r="H18" s="16" t="s">
        <v>25</v>
      </c>
      <c r="I18" s="16"/>
      <c r="J18" s="7" t="str">
        <f t="shared" si="3"/>
        <v/>
      </c>
      <c r="K18" s="16" t="s">
        <v>30</v>
      </c>
      <c r="L18" s="41" t="str">
        <f t="shared" si="1"/>
        <v/>
      </c>
      <c r="M18" s="41"/>
      <c r="N18" s="42" t="s">
        <v>11</v>
      </c>
      <c r="O18" s="43">
        <f t="shared" si="2"/>
        <v>0</v>
      </c>
      <c r="P18" s="44" t="s">
        <v>12</v>
      </c>
      <c r="T18" s="47"/>
    </row>
    <row r="19" spans="2:20" ht="19.350000000000001" customHeight="1">
      <c r="K19" s="27" t="s">
        <v>20</v>
      </c>
      <c r="L19" s="27"/>
      <c r="M19" s="27"/>
      <c r="N19" s="27"/>
      <c r="O19" s="28">
        <f ca="1">SUM(O12:O18)</f>
        <v>2</v>
      </c>
    </row>
    <row r="20" spans="2:20" s="19" customFormat="1" ht="32.25" customHeight="1">
      <c r="B20" s="29" t="s">
        <v>5</v>
      </c>
      <c r="C20" s="30" t="s">
        <v>26</v>
      </c>
      <c r="D20" s="31"/>
      <c r="E20" s="31"/>
      <c r="F20" s="32"/>
      <c r="G20" s="33" t="s">
        <v>27</v>
      </c>
      <c r="H20" s="30" t="s">
        <v>28</v>
      </c>
      <c r="I20" s="31"/>
      <c r="J20" s="31"/>
      <c r="K20" s="31"/>
      <c r="L20" s="31"/>
      <c r="M20" s="31"/>
      <c r="N20" s="31"/>
      <c r="O20" s="32"/>
      <c r="P20" s="33" t="s">
        <v>29</v>
      </c>
      <c r="T20" s="34"/>
    </row>
    <row r="21" spans="2:20" s="20" customFormat="1" ht="34.200000000000003" customHeight="1">
      <c r="B21" s="35" t="s">
        <v>1</v>
      </c>
      <c r="C21" s="36"/>
      <c r="D21" s="37"/>
      <c r="E21" s="37"/>
      <c r="F21" s="38"/>
      <c r="G21" s="39"/>
      <c r="H21" s="36"/>
      <c r="I21" s="37"/>
      <c r="J21" s="37"/>
      <c r="K21" s="37"/>
      <c r="L21" s="37"/>
      <c r="M21" s="37"/>
      <c r="N21" s="37"/>
      <c r="O21" s="38"/>
      <c r="P21" s="39"/>
      <c r="T21" s="40"/>
    </row>
    <row r="22" spans="2:20" ht="21.9" customHeight="1">
      <c r="B22" s="23">
        <v>1</v>
      </c>
      <c r="C22" s="24" t="str">
        <f>IF(LEN(G22)&gt;0,VLOOKUP(G22,'HR data'!$B$2:$I$1000,3,0),"")</f>
        <v>Cao Thị Nhung</v>
      </c>
      <c r="D22" s="25"/>
      <c r="E22" s="25"/>
      <c r="F22" s="26"/>
      <c r="G22" s="8" t="s">
        <v>784</v>
      </c>
      <c r="H22" s="10"/>
      <c r="I22" s="10"/>
      <c r="J22" s="10"/>
      <c r="K22" s="10"/>
      <c r="L22" s="10"/>
      <c r="M22" s="10"/>
      <c r="N22" s="10"/>
      <c r="O22" s="10"/>
      <c r="P22" s="22"/>
    </row>
    <row r="23" spans="2:20" ht="21.9" customHeight="1">
      <c r="B23" s="23">
        <v>2</v>
      </c>
      <c r="C23" s="24" t="str">
        <f>IF(LEN(G23)&gt;0,VLOOKUP(G23,'HR data'!$B$2:$I$1000,3,0),"")</f>
        <v/>
      </c>
      <c r="D23" s="25"/>
      <c r="E23" s="25"/>
      <c r="F23" s="26"/>
      <c r="G23" s="8"/>
      <c r="H23" s="10"/>
      <c r="I23" s="10"/>
      <c r="J23" s="10"/>
      <c r="K23" s="10"/>
      <c r="L23" s="10"/>
      <c r="M23" s="10"/>
      <c r="N23" s="10"/>
      <c r="O23" s="10"/>
      <c r="P23" s="22"/>
    </row>
    <row r="24" spans="2:20" ht="21.9" customHeight="1">
      <c r="B24" s="23">
        <v>3</v>
      </c>
      <c r="C24" s="24" t="str">
        <f>IF(LEN(G24)&gt;0,VLOOKUP(G24,'HR data'!$B$2:$I$1000,3,0),"")</f>
        <v/>
      </c>
      <c r="D24" s="25"/>
      <c r="E24" s="25"/>
      <c r="F24" s="26"/>
      <c r="G24" s="8"/>
      <c r="H24" s="10"/>
      <c r="I24" s="10"/>
      <c r="J24" s="10"/>
      <c r="K24" s="10"/>
      <c r="L24" s="10"/>
      <c r="M24" s="10"/>
      <c r="N24" s="10"/>
      <c r="O24" s="10"/>
      <c r="P24" s="22"/>
    </row>
    <row r="25" spans="2:20" ht="21.9" customHeight="1">
      <c r="B25" s="23">
        <v>4</v>
      </c>
      <c r="C25" s="24" t="str">
        <f>IF(LEN(G25)&gt;0,VLOOKUP(G25,'HR data'!$B$2:$I$1000,3,0),"")</f>
        <v/>
      </c>
      <c r="D25" s="25"/>
      <c r="E25" s="25"/>
      <c r="F25" s="26"/>
      <c r="G25" s="8"/>
      <c r="H25" s="10"/>
      <c r="I25" s="10"/>
      <c r="J25" s="10"/>
      <c r="K25" s="10"/>
      <c r="L25" s="10"/>
      <c r="M25" s="10"/>
      <c r="N25" s="10"/>
      <c r="O25" s="10"/>
      <c r="P25" s="22"/>
    </row>
    <row r="26" spans="2:20" ht="21.9" customHeight="1">
      <c r="B26" s="23">
        <v>5</v>
      </c>
      <c r="C26" s="24" t="str">
        <f>IF(LEN(G26)&gt;0,VLOOKUP(G26,'HR data'!$B$2:$I$1000,3,0),"")</f>
        <v/>
      </c>
      <c r="D26" s="25"/>
      <c r="E26" s="25"/>
      <c r="F26" s="26"/>
      <c r="G26" s="8"/>
      <c r="H26" s="10"/>
      <c r="I26" s="10"/>
      <c r="J26" s="10"/>
      <c r="K26" s="10"/>
      <c r="L26" s="10"/>
      <c r="M26" s="10"/>
      <c r="N26" s="10"/>
      <c r="O26" s="10"/>
      <c r="P26" s="22"/>
    </row>
    <row r="27" spans="2:20" ht="21.9" customHeight="1">
      <c r="B27" s="23">
        <v>6</v>
      </c>
      <c r="C27" s="24" t="str">
        <f>IF(LEN(G27)&gt;0,VLOOKUP(G27,'HR data'!$B$2:$I$1000,3,0),"")</f>
        <v/>
      </c>
      <c r="D27" s="25"/>
      <c r="E27" s="25"/>
      <c r="F27" s="26"/>
      <c r="G27" s="8"/>
      <c r="H27" s="10"/>
      <c r="I27" s="10"/>
      <c r="J27" s="10"/>
      <c r="K27" s="10"/>
      <c r="L27" s="10"/>
      <c r="M27" s="10"/>
      <c r="N27" s="10"/>
      <c r="O27" s="10"/>
      <c r="P27" s="22"/>
    </row>
    <row r="28" spans="2:20" ht="21.9" customHeight="1">
      <c r="B28" s="23">
        <v>7</v>
      </c>
      <c r="C28" s="24" t="str">
        <f>IF(LEN(G28)&gt;0,VLOOKUP(G28,'HR data'!$B$2:$I$1000,3,0),"")</f>
        <v/>
      </c>
      <c r="D28" s="25"/>
      <c r="E28" s="25"/>
      <c r="F28" s="26"/>
      <c r="G28" s="8"/>
      <c r="H28" s="10"/>
      <c r="I28" s="10"/>
      <c r="J28" s="10"/>
      <c r="K28" s="10"/>
      <c r="L28" s="10"/>
      <c r="M28" s="10"/>
      <c r="N28" s="10"/>
      <c r="O28" s="10"/>
      <c r="P28" s="22"/>
    </row>
    <row r="29" spans="2:20" ht="21.9" customHeight="1">
      <c r="B29" s="23">
        <v>8</v>
      </c>
      <c r="C29" s="24" t="str">
        <f>IF(LEN(G29)&gt;0,VLOOKUP(G29,'HR data'!$B$2:$I$1000,3,0),"")</f>
        <v/>
      </c>
      <c r="D29" s="25"/>
      <c r="E29" s="25"/>
      <c r="F29" s="26"/>
      <c r="G29" s="8"/>
      <c r="H29" s="10"/>
      <c r="I29" s="10"/>
      <c r="J29" s="10"/>
      <c r="K29" s="10"/>
      <c r="L29" s="10"/>
      <c r="M29" s="10"/>
      <c r="N29" s="10"/>
      <c r="O29" s="10"/>
      <c r="P29" s="22"/>
    </row>
    <row r="30" spans="2:20" ht="21.9" customHeight="1">
      <c r="B30" s="23">
        <v>9</v>
      </c>
      <c r="C30" s="24" t="str">
        <f>IF(LEN(G30)&gt;0,VLOOKUP(G30,'HR data'!$B$2:$I$1000,3,0),"")</f>
        <v/>
      </c>
      <c r="D30" s="25"/>
      <c r="E30" s="25"/>
      <c r="F30" s="26"/>
      <c r="G30" s="8"/>
      <c r="H30" s="10"/>
      <c r="I30" s="10"/>
      <c r="J30" s="10"/>
      <c r="K30" s="10"/>
      <c r="L30" s="10"/>
      <c r="M30" s="10"/>
      <c r="N30" s="10"/>
      <c r="O30" s="10"/>
      <c r="P30" s="22"/>
    </row>
    <row r="31" spans="2:20" ht="21.9" customHeight="1">
      <c r="B31" s="23">
        <v>10</v>
      </c>
      <c r="C31" s="24" t="str">
        <f>IF(LEN(G31)&gt;0,VLOOKUP(G31,'HR data'!$B$2:$I$1000,3,0),"")</f>
        <v/>
      </c>
      <c r="D31" s="25"/>
      <c r="E31" s="25"/>
      <c r="F31" s="26"/>
      <c r="G31" s="8"/>
      <c r="H31" s="10"/>
      <c r="I31" s="10"/>
      <c r="J31" s="10"/>
      <c r="K31" s="10"/>
      <c r="L31" s="10"/>
      <c r="M31" s="10"/>
      <c r="N31" s="10"/>
      <c r="O31" s="10"/>
      <c r="P31" s="22"/>
    </row>
    <row r="32" spans="2:20" ht="21.9" customHeight="1">
      <c r="B32" s="23">
        <v>11</v>
      </c>
      <c r="C32" s="24" t="str">
        <f>IF(LEN(G32)&gt;0,VLOOKUP(G32,'HR data'!$B$2:$I$1000,3,0),"")</f>
        <v/>
      </c>
      <c r="D32" s="25"/>
      <c r="E32" s="25"/>
      <c r="F32" s="26"/>
      <c r="G32" s="8"/>
      <c r="H32" s="10"/>
      <c r="I32" s="10"/>
      <c r="J32" s="10"/>
      <c r="K32" s="10"/>
      <c r="L32" s="10"/>
      <c r="M32" s="10"/>
      <c r="N32" s="10"/>
      <c r="O32" s="10"/>
      <c r="P32" s="22"/>
    </row>
    <row r="33" spans="2:16" ht="21.9" customHeight="1">
      <c r="B33" s="23">
        <v>12</v>
      </c>
      <c r="C33" s="24" t="str">
        <f>IF(LEN(G33)&gt;0,VLOOKUP(G33,'HR data'!$B$2:$I$1000,3,0),"")</f>
        <v/>
      </c>
      <c r="D33" s="25"/>
      <c r="E33" s="25"/>
      <c r="F33" s="26"/>
      <c r="G33" s="8"/>
      <c r="H33" s="10"/>
      <c r="I33" s="10"/>
      <c r="J33" s="10"/>
      <c r="K33" s="10"/>
      <c r="L33" s="10"/>
      <c r="M33" s="10"/>
      <c r="N33" s="10"/>
      <c r="O33" s="10"/>
      <c r="P33" s="22"/>
    </row>
    <row r="34" spans="2:16" ht="21.9" customHeight="1">
      <c r="B34" s="23">
        <v>13</v>
      </c>
      <c r="C34" s="24" t="str">
        <f>IF(LEN(G34)&gt;0,VLOOKUP(G34,'HR data'!$B$2:$I$1000,3,0),"")</f>
        <v/>
      </c>
      <c r="D34" s="25"/>
      <c r="E34" s="25"/>
      <c r="F34" s="26"/>
      <c r="G34" s="8"/>
      <c r="H34" s="10"/>
      <c r="I34" s="10"/>
      <c r="J34" s="10"/>
      <c r="K34" s="10"/>
      <c r="L34" s="10"/>
      <c r="M34" s="10"/>
      <c r="N34" s="10"/>
      <c r="O34" s="10"/>
      <c r="P34" s="22"/>
    </row>
    <row r="35" spans="2:16" ht="21.9" customHeight="1">
      <c r="B35" s="23">
        <v>14</v>
      </c>
      <c r="C35" s="24" t="str">
        <f>IF(LEN(G35)&gt;0,VLOOKUP(G35,'HR data'!$B$2:$I$1000,3,0),"")</f>
        <v/>
      </c>
      <c r="D35" s="25"/>
      <c r="E35" s="25"/>
      <c r="F35" s="26"/>
      <c r="G35" s="8"/>
      <c r="H35" s="10"/>
      <c r="I35" s="10"/>
      <c r="J35" s="10"/>
      <c r="K35" s="10"/>
      <c r="L35" s="10"/>
      <c r="M35" s="10"/>
      <c r="N35" s="10"/>
      <c r="O35" s="10"/>
      <c r="P35" s="22"/>
    </row>
    <row r="36" spans="2:16" ht="21.9" customHeight="1">
      <c r="B36" s="23">
        <v>15</v>
      </c>
      <c r="C36" s="24" t="str">
        <f>IF(LEN(G36)&gt;0,VLOOKUP(G36,'HR data'!$B$2:$I$1000,3,0),"")</f>
        <v/>
      </c>
      <c r="D36" s="25"/>
      <c r="E36" s="25"/>
      <c r="F36" s="26"/>
      <c r="G36" s="8"/>
      <c r="H36" s="10"/>
      <c r="I36" s="10"/>
      <c r="J36" s="10"/>
      <c r="K36" s="10"/>
      <c r="L36" s="10"/>
      <c r="M36" s="10"/>
      <c r="N36" s="10"/>
      <c r="O36" s="10"/>
      <c r="P36" s="22"/>
    </row>
    <row r="37" spans="2:16" ht="21.9" customHeight="1">
      <c r="B37" s="23">
        <v>16</v>
      </c>
      <c r="C37" s="24" t="str">
        <f>IF(LEN(G37)&gt;0,VLOOKUP(G37,'HR data'!$B$2:$I$1000,3,0),"")</f>
        <v/>
      </c>
      <c r="D37" s="25"/>
      <c r="E37" s="25"/>
      <c r="F37" s="26"/>
      <c r="G37" s="8"/>
      <c r="H37" s="10"/>
      <c r="I37" s="10"/>
      <c r="J37" s="10"/>
      <c r="K37" s="10"/>
      <c r="L37" s="10"/>
      <c r="M37" s="10"/>
      <c r="N37" s="10"/>
      <c r="O37" s="10"/>
      <c r="P37" s="22"/>
    </row>
    <row r="38" spans="2:16" ht="21.9" customHeight="1">
      <c r="B38" s="23">
        <v>17</v>
      </c>
      <c r="C38" s="24" t="str">
        <f>IF(LEN(G38)&gt;0,VLOOKUP(G38,'HR data'!$B$2:$I$1000,3,0),"")</f>
        <v/>
      </c>
      <c r="D38" s="25"/>
      <c r="E38" s="25"/>
      <c r="F38" s="26"/>
      <c r="G38" s="8"/>
      <c r="H38" s="10"/>
      <c r="I38" s="10"/>
      <c r="J38" s="10"/>
      <c r="K38" s="10"/>
      <c r="L38" s="10"/>
      <c r="M38" s="10"/>
      <c r="N38" s="10"/>
      <c r="O38" s="10"/>
      <c r="P38" s="22"/>
    </row>
    <row r="39" spans="2:16" ht="21.9" customHeight="1">
      <c r="B39" s="23">
        <v>18</v>
      </c>
      <c r="C39" s="24" t="str">
        <f>IF(LEN(G39)&gt;0,VLOOKUP(G39,'HR data'!$B$2:$I$1000,3,0),"")</f>
        <v/>
      </c>
      <c r="D39" s="25"/>
      <c r="E39" s="25"/>
      <c r="F39" s="26"/>
      <c r="G39" s="8"/>
      <c r="H39" s="10"/>
      <c r="I39" s="10"/>
      <c r="J39" s="10"/>
      <c r="K39" s="10"/>
      <c r="L39" s="10"/>
      <c r="M39" s="10"/>
      <c r="N39" s="10"/>
      <c r="O39" s="10"/>
      <c r="P39" s="22"/>
    </row>
    <row r="40" spans="2:16" ht="21.9" customHeight="1">
      <c r="B40" s="23">
        <v>19</v>
      </c>
      <c r="C40" s="24" t="str">
        <f>IF(LEN(G40)&gt;0,VLOOKUP(G40,'HR data'!$B$2:$I$1000,3,0),"")</f>
        <v/>
      </c>
      <c r="D40" s="25"/>
      <c r="E40" s="25"/>
      <c r="F40" s="26"/>
      <c r="G40" s="8"/>
      <c r="H40" s="10"/>
      <c r="I40" s="10"/>
      <c r="J40" s="10"/>
      <c r="K40" s="10"/>
      <c r="L40" s="10"/>
      <c r="M40" s="10"/>
      <c r="N40" s="10"/>
      <c r="O40" s="10"/>
      <c r="P40" s="22"/>
    </row>
    <row r="41" spans="2:16" ht="21.9" customHeight="1">
      <c r="B41" s="23">
        <v>20</v>
      </c>
      <c r="C41" s="24" t="str">
        <f>IF(LEN(G41)&gt;0,VLOOKUP(G41,'HR data'!$B$2:$I$1000,3,0),"")</f>
        <v/>
      </c>
      <c r="D41" s="25"/>
      <c r="E41" s="25"/>
      <c r="F41" s="26"/>
      <c r="G41" s="8"/>
      <c r="H41" s="10"/>
      <c r="I41" s="10"/>
      <c r="J41" s="10"/>
      <c r="K41" s="10"/>
      <c r="L41" s="10"/>
      <c r="M41" s="10"/>
      <c r="N41" s="10"/>
      <c r="O41" s="10"/>
      <c r="P41" s="22"/>
    </row>
    <row r="42" spans="2:16" ht="23.1" customHeight="1">
      <c r="B42" s="13" t="s">
        <v>9</v>
      </c>
      <c r="C42" s="13"/>
      <c r="D42" s="13"/>
      <c r="E42" s="13"/>
      <c r="F42" s="13"/>
      <c r="G42" s="13"/>
      <c r="H42" s="9"/>
      <c r="I42" s="9"/>
      <c r="J42" s="9"/>
      <c r="K42" s="9"/>
      <c r="L42" s="9"/>
      <c r="M42" s="9"/>
      <c r="N42" s="9"/>
      <c r="O42" s="9"/>
      <c r="P42" s="9"/>
    </row>
    <row r="43" spans="2:16" ht="21.9" customHeight="1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</row>
    <row r="44" spans="2:16" ht="21.9" customHeight="1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</row>
    <row r="45" spans="2:16" ht="5.25" customHeight="1"/>
    <row r="46" spans="2:16" ht="16.5" customHeight="1">
      <c r="C46" s="18"/>
      <c r="D46" s="18" t="s">
        <v>10</v>
      </c>
      <c r="E46" s="18"/>
      <c r="F46" s="18"/>
      <c r="G46" s="19"/>
      <c r="H46" s="19"/>
      <c r="I46" s="18" t="s">
        <v>2</v>
      </c>
      <c r="J46" s="18"/>
      <c r="K46" s="18"/>
      <c r="L46" s="18"/>
      <c r="M46" s="19"/>
      <c r="N46" s="20"/>
      <c r="O46" s="18" t="s">
        <v>13</v>
      </c>
      <c r="P46" s="19"/>
    </row>
    <row r="47" spans="2:16" ht="13.5" customHeight="1">
      <c r="C47" s="19"/>
      <c r="D47" s="20" t="s">
        <v>3</v>
      </c>
      <c r="E47" s="19"/>
      <c r="F47" s="19"/>
      <c r="G47" s="19"/>
      <c r="H47" s="19"/>
      <c r="I47" s="20" t="s">
        <v>4</v>
      </c>
      <c r="J47" s="19"/>
      <c r="K47" s="19"/>
      <c r="L47" s="19"/>
      <c r="M47" s="19"/>
      <c r="O47" s="20" t="s">
        <v>14</v>
      </c>
      <c r="P47" s="19"/>
    </row>
    <row r="48" spans="2:16" ht="20.100000000000001" customHeight="1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3:16" ht="20.100000000000001" customHeight="1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3:16" ht="20.100000000000001" customHeight="1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3:16" ht="17.25" customHeight="1">
      <c r="C51" s="21"/>
      <c r="D51" s="21" t="s">
        <v>17</v>
      </c>
      <c r="E51" s="21"/>
      <c r="F51" s="21"/>
      <c r="G51" s="19"/>
      <c r="H51" s="19"/>
      <c r="I51" s="21" t="s">
        <v>15</v>
      </c>
      <c r="J51" s="21"/>
      <c r="K51" s="21"/>
      <c r="L51" s="21"/>
      <c r="M51" s="19"/>
      <c r="N51" s="21"/>
      <c r="O51" s="21" t="s">
        <v>7</v>
      </c>
    </row>
    <row r="52" spans="3:16" ht="14.25" customHeight="1">
      <c r="C52" s="19"/>
      <c r="D52" s="20" t="s">
        <v>16</v>
      </c>
      <c r="E52" s="19"/>
      <c r="F52" s="19"/>
      <c r="G52" s="19"/>
      <c r="H52" s="19"/>
      <c r="I52" s="20" t="s">
        <v>6</v>
      </c>
      <c r="J52" s="19"/>
      <c r="K52" s="19"/>
      <c r="L52" s="19"/>
      <c r="M52" s="19"/>
      <c r="N52" s="20"/>
      <c r="O52" s="20" t="s">
        <v>8</v>
      </c>
      <c r="P52" s="19"/>
    </row>
  </sheetData>
  <sheetProtection algorithmName="SHA-512" hashValue="SLvu8WGIXZ4+zJ1z+JvrIZFyUhS+b8i+gezABnHRqnHeDT3ChwcofvuDZZGlyXeJyjz2cAXAEYJprnz8XNcgyw==" saltValue="MrtGuJP9spgvgBNrNjnq7w==" spinCount="100000" sheet="1" formatCells="0" formatColumns="0" formatRows="0" insertColumns="0" insertRows="0" insertHyperlinks="0" deleteColumns="0" deleteRows="0" sort="0" autoFilter="0" pivotTables="0"/>
  <mergeCells count="71">
    <mergeCell ref="B4:M4"/>
    <mergeCell ref="N4:P4"/>
    <mergeCell ref="L13:M13"/>
    <mergeCell ref="L17:M17"/>
    <mergeCell ref="C23:F23"/>
    <mergeCell ref="C20:F21"/>
    <mergeCell ref="C22:F22"/>
    <mergeCell ref="G20:G21"/>
    <mergeCell ref="D18:F18"/>
    <mergeCell ref="L18:M18"/>
    <mergeCell ref="D15:F15"/>
    <mergeCell ref="L16:M16"/>
    <mergeCell ref="B5:P5"/>
    <mergeCell ref="B6:P6"/>
    <mergeCell ref="O10:P10"/>
    <mergeCell ref="D12:F12"/>
    <mergeCell ref="B42:G42"/>
    <mergeCell ref="B43:P43"/>
    <mergeCell ref="B44:P44"/>
    <mergeCell ref="H33:O33"/>
    <mergeCell ref="C34:F34"/>
    <mergeCell ref="H34:O34"/>
    <mergeCell ref="C35:F35"/>
    <mergeCell ref="H35:O35"/>
    <mergeCell ref="H37:O37"/>
    <mergeCell ref="H38:O38"/>
    <mergeCell ref="C40:F40"/>
    <mergeCell ref="C41:F41"/>
    <mergeCell ref="H41:O41"/>
    <mergeCell ref="H40:O40"/>
    <mergeCell ref="C37:F37"/>
    <mergeCell ref="C38:F38"/>
    <mergeCell ref="B3:E3"/>
    <mergeCell ref="D10:F10"/>
    <mergeCell ref="B9:P9"/>
    <mergeCell ref="H20:O21"/>
    <mergeCell ref="H25:O25"/>
    <mergeCell ref="H22:O22"/>
    <mergeCell ref="H23:O23"/>
    <mergeCell ref="H24:O24"/>
    <mergeCell ref="O3:P3"/>
    <mergeCell ref="D13:F13"/>
    <mergeCell ref="L12:M12"/>
    <mergeCell ref="L14:M14"/>
    <mergeCell ref="P20:P21"/>
    <mergeCell ref="D17:F17"/>
    <mergeCell ref="L15:M15"/>
    <mergeCell ref="K19:N19"/>
    <mergeCell ref="D14:F14"/>
    <mergeCell ref="D16:F16"/>
    <mergeCell ref="H36:O36"/>
    <mergeCell ref="C36:F36"/>
    <mergeCell ref="C33:F33"/>
    <mergeCell ref="C24:F24"/>
    <mergeCell ref="C25:F25"/>
    <mergeCell ref="C39:F39"/>
    <mergeCell ref="H39:O39"/>
    <mergeCell ref="C27:F27"/>
    <mergeCell ref="H27:O27"/>
    <mergeCell ref="C26:F26"/>
    <mergeCell ref="C31:F31"/>
    <mergeCell ref="C32:F32"/>
    <mergeCell ref="H31:O31"/>
    <mergeCell ref="H32:O32"/>
    <mergeCell ref="H26:O26"/>
    <mergeCell ref="H28:O28"/>
    <mergeCell ref="H29:O29"/>
    <mergeCell ref="H30:O30"/>
    <mergeCell ref="C28:F28"/>
    <mergeCell ref="C29:F29"/>
    <mergeCell ref="C30:F30"/>
  </mergeCells>
  <phoneticPr fontId="17" type="noConversion"/>
  <pageMargins left="0.7" right="0.2" top="0.75" bottom="0.25" header="0.3" footer="0.3"/>
  <pageSetup paperSize="9" scale="65" fitToHeight="0" orientation="portrait" r:id="rId1"/>
  <headerFooter>
    <oddHeader>&amp;L&amp;G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1EF1065-0213-4E32-AE49-462F11E29BAB}">
          <x14:formula1>
            <xm:f>'Data validation'!$E$2:$E$40</xm:f>
          </x14:formula1>
          <xm:sqref>F8 D12:F18</xm:sqref>
        </x14:dataValidation>
        <x14:dataValidation type="list" allowBlank="1" showInputMessage="1" showErrorMessage="1" errorTitle="Sai dinh dang" xr:uid="{E41445AB-2CC1-4B95-AE31-DC083455E255}">
          <x14:formula1>
            <xm:f>'Data validation'!$F$2:$F$3</xm:f>
          </x14:formula1>
          <xm:sqref>J12:J18</xm:sqref>
        </x14:dataValidation>
        <x14:dataValidation type="list" allowBlank="1" showInputMessage="1" showErrorMessage="1" xr:uid="{C4D821C6-AAB8-42F4-A16B-945797C5819C}">
          <x14:formula1>
            <xm:f>'Data validation'!$C$2:$C$38</xm:f>
          </x14:formula1>
          <xm:sqref>O10:P10</xm:sqref>
        </x14:dataValidation>
        <x14:dataValidation type="list" allowBlank="1" showInputMessage="1" showErrorMessage="1" xr:uid="{1B11E30D-7DE6-4C05-87B8-162681BEB824}">
          <x14:formula1>
            <xm:f>'Data validation'!$B$2:$B$14</xm:f>
          </x14:formula1>
          <xm:sqref>D10</xm:sqref>
        </x14:dataValidation>
        <x14:dataValidation type="list" allowBlank="1" showInputMessage="1" showErrorMessage="1" xr:uid="{01BFFD06-DEBC-4A84-B236-ACDB838EC208}">
          <x14:formula1>
            <xm:f>'HR data'!$B:$B</xm:f>
          </x14:formula1>
          <xm:sqref>G22:G41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EA646-00D3-4323-BF98-7E00BF0AC2CF}">
  <sheetPr codeName="Sheet3"/>
  <dimension ref="A1:I654"/>
  <sheetViews>
    <sheetView workbookViewId="0">
      <selection activeCell="D17" sqref="D17"/>
    </sheetView>
  </sheetViews>
  <sheetFormatPr defaultRowHeight="14.4"/>
  <cols>
    <col min="1" max="2" width="13.33203125" bestFit="1" customWidth="1"/>
    <col min="3" max="3" width="21.33203125" bestFit="1" customWidth="1"/>
    <col min="4" max="4" width="24.6640625" bestFit="1" customWidth="1"/>
    <col min="5" max="5" width="18.88671875" bestFit="1" customWidth="1"/>
    <col min="6" max="6" width="20.6640625" bestFit="1" customWidth="1"/>
    <col min="7" max="7" width="32.44140625" bestFit="1" customWidth="1"/>
    <col min="8" max="9" width="49" bestFit="1" customWidth="1"/>
    <col min="10" max="10" width="52.109375" bestFit="1" customWidth="1"/>
    <col min="11" max="11" width="10.109375" bestFit="1" customWidth="1"/>
    <col min="12" max="12" width="21.88671875" bestFit="1" customWidth="1"/>
    <col min="13" max="13" width="34.6640625" bestFit="1" customWidth="1"/>
    <col min="14" max="14" width="52.109375" bestFit="1" customWidth="1"/>
    <col min="15" max="15" width="12.6640625" bestFit="1" customWidth="1"/>
    <col min="16" max="16" width="6.5546875" bestFit="1" customWidth="1"/>
    <col min="17" max="17" width="52.109375" bestFit="1" customWidth="1"/>
    <col min="18" max="18" width="42.109375" bestFit="1" customWidth="1"/>
    <col min="19" max="19" width="13.5546875" bestFit="1" customWidth="1"/>
    <col min="20" max="20" width="24" bestFit="1" customWidth="1"/>
    <col min="21" max="21" width="25" bestFit="1" customWidth="1"/>
    <col min="22" max="22" width="20.109375" bestFit="1" customWidth="1"/>
    <col min="23" max="23" width="13.5546875" bestFit="1" customWidth="1"/>
    <col min="24" max="24" width="18.77734375" bestFit="1" customWidth="1"/>
    <col min="25" max="25" width="18.44140625" bestFit="1" customWidth="1"/>
    <col min="26" max="26" width="16.88671875" bestFit="1" customWidth="1"/>
    <col min="27" max="27" width="19.5546875" bestFit="1" customWidth="1"/>
    <col min="28" max="28" width="7.33203125" bestFit="1" customWidth="1"/>
    <col min="29" max="29" width="19.33203125" bestFit="1" customWidth="1"/>
    <col min="30" max="30" width="11.77734375" bestFit="1" customWidth="1"/>
    <col min="31" max="31" width="25.6640625" bestFit="1" customWidth="1"/>
    <col min="32" max="32" width="29.109375" bestFit="1" customWidth="1"/>
    <col min="33" max="33" width="9.6640625" bestFit="1" customWidth="1"/>
    <col min="34" max="34" width="10.5546875" bestFit="1" customWidth="1"/>
    <col min="35" max="35" width="24" bestFit="1" customWidth="1"/>
    <col min="36" max="36" width="11" bestFit="1" customWidth="1"/>
    <col min="37" max="37" width="52.6640625" bestFit="1" customWidth="1"/>
    <col min="38" max="38" width="24.44140625" bestFit="1" customWidth="1"/>
    <col min="39" max="39" width="17" bestFit="1" customWidth="1"/>
    <col min="40" max="40" width="16" bestFit="1" customWidth="1"/>
    <col min="41" max="41" width="12" bestFit="1" customWidth="1"/>
    <col min="42" max="42" width="11" bestFit="1" customWidth="1"/>
    <col min="43" max="43" width="53.77734375" bestFit="1" customWidth="1"/>
    <col min="44" max="44" width="76.5546875" bestFit="1" customWidth="1"/>
    <col min="45" max="47" width="80.88671875" bestFit="1" customWidth="1"/>
    <col min="48" max="48" width="55" bestFit="1" customWidth="1"/>
    <col min="49" max="49" width="26.109375" bestFit="1" customWidth="1"/>
    <col min="50" max="50" width="26.21875" bestFit="1" customWidth="1"/>
    <col min="51" max="51" width="20.5546875" bestFit="1" customWidth="1"/>
    <col min="52" max="52" width="21.109375" bestFit="1" customWidth="1"/>
    <col min="53" max="53" width="10.77734375" bestFit="1" customWidth="1"/>
    <col min="54" max="54" width="12.77734375" bestFit="1" customWidth="1"/>
    <col min="55" max="55" width="12" bestFit="1" customWidth="1"/>
    <col min="56" max="56" width="11" bestFit="1" customWidth="1"/>
    <col min="57" max="57" width="16.6640625" bestFit="1" customWidth="1"/>
    <col min="58" max="58" width="80.88671875" bestFit="1" customWidth="1"/>
    <col min="59" max="59" width="23" bestFit="1" customWidth="1"/>
    <col min="60" max="60" width="34.44140625" bestFit="1" customWidth="1"/>
    <col min="61" max="61" width="23.109375" bestFit="1" customWidth="1"/>
    <col min="62" max="64" width="8.6640625" bestFit="1" customWidth="1"/>
    <col min="65" max="65" width="9.6640625" bestFit="1" customWidth="1"/>
    <col min="66" max="66" width="21.88671875" bestFit="1" customWidth="1"/>
    <col min="67" max="67" width="61.5546875" bestFit="1" customWidth="1"/>
    <col min="68" max="68" width="50.21875" bestFit="1" customWidth="1"/>
    <col min="69" max="69" width="35.44140625" bestFit="1" customWidth="1"/>
    <col min="70" max="70" width="70.109375" bestFit="1" customWidth="1"/>
    <col min="71" max="71" width="25.77734375" bestFit="1" customWidth="1"/>
    <col min="72" max="72" width="10.6640625" bestFit="1" customWidth="1"/>
    <col min="73" max="73" width="5.77734375" bestFit="1" customWidth="1"/>
  </cols>
  <sheetData>
    <row r="1" spans="1:9">
      <c r="A1" t="s">
        <v>786</v>
      </c>
      <c r="B1" t="s">
        <v>787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41</v>
      </c>
    </row>
    <row r="2" spans="1:9">
      <c r="A2" t="s">
        <v>788</v>
      </c>
      <c r="B2" t="s">
        <v>789</v>
      </c>
      <c r="C2" t="s">
        <v>44</v>
      </c>
      <c r="D2" t="s">
        <v>45</v>
      </c>
      <c r="E2">
        <v>1</v>
      </c>
      <c r="F2" t="s">
        <v>46</v>
      </c>
      <c r="G2" t="s">
        <v>46</v>
      </c>
      <c r="H2" t="s">
        <v>44</v>
      </c>
      <c r="I2" t="s">
        <v>47</v>
      </c>
    </row>
    <row r="3" spans="1:9">
      <c r="A3" t="s">
        <v>788</v>
      </c>
      <c r="B3" t="s">
        <v>790</v>
      </c>
      <c r="D3" t="s">
        <v>48</v>
      </c>
      <c r="E3">
        <v>1</v>
      </c>
      <c r="F3" t="s">
        <v>49</v>
      </c>
      <c r="G3" t="s">
        <v>50</v>
      </c>
      <c r="H3" t="s">
        <v>51</v>
      </c>
      <c r="I3" t="s">
        <v>51</v>
      </c>
    </row>
    <row r="4" spans="1:9">
      <c r="A4" t="s">
        <v>788</v>
      </c>
      <c r="B4" t="s">
        <v>791</v>
      </c>
      <c r="D4" t="s">
        <v>54</v>
      </c>
      <c r="E4">
        <v>1</v>
      </c>
      <c r="F4" t="s">
        <v>49</v>
      </c>
      <c r="G4" t="s">
        <v>50</v>
      </c>
      <c r="H4" t="s">
        <v>51</v>
      </c>
      <c r="I4" t="s">
        <v>56</v>
      </c>
    </row>
    <row r="5" spans="1:9">
      <c r="A5" t="s">
        <v>788</v>
      </c>
      <c r="B5" t="s">
        <v>792</v>
      </c>
      <c r="D5" t="s">
        <v>57</v>
      </c>
      <c r="E5">
        <v>1</v>
      </c>
      <c r="F5" t="s">
        <v>46</v>
      </c>
      <c r="G5" t="s">
        <v>46</v>
      </c>
      <c r="H5" t="s">
        <v>58</v>
      </c>
      <c r="I5" t="s">
        <v>59</v>
      </c>
    </row>
    <row r="6" spans="1:9">
      <c r="A6" t="s">
        <v>788</v>
      </c>
      <c r="B6" t="s">
        <v>793</v>
      </c>
      <c r="D6" t="s">
        <v>60</v>
      </c>
      <c r="E6">
        <v>1</v>
      </c>
      <c r="F6" t="s">
        <v>46</v>
      </c>
      <c r="G6" t="s">
        <v>46</v>
      </c>
      <c r="H6" t="s">
        <v>58</v>
      </c>
      <c r="I6" t="s">
        <v>61</v>
      </c>
    </row>
    <row r="7" spans="1:9">
      <c r="A7" t="s">
        <v>788</v>
      </c>
      <c r="B7" t="s">
        <v>794</v>
      </c>
      <c r="D7" t="s">
        <v>62</v>
      </c>
      <c r="E7">
        <v>1</v>
      </c>
      <c r="F7" t="s">
        <v>46</v>
      </c>
      <c r="G7" t="s">
        <v>46</v>
      </c>
      <c r="H7" t="s">
        <v>58</v>
      </c>
      <c r="I7" t="s">
        <v>58</v>
      </c>
    </row>
    <row r="8" spans="1:9">
      <c r="A8" t="s">
        <v>788</v>
      </c>
      <c r="B8" t="s">
        <v>784</v>
      </c>
      <c r="C8" t="s">
        <v>63</v>
      </c>
      <c r="D8" t="s">
        <v>64</v>
      </c>
      <c r="E8">
        <v>1</v>
      </c>
      <c r="F8" t="s">
        <v>46</v>
      </c>
      <c r="G8" t="s">
        <v>46</v>
      </c>
      <c r="H8" t="s">
        <v>65</v>
      </c>
      <c r="I8" t="s">
        <v>66</v>
      </c>
    </row>
    <row r="9" spans="1:9">
      <c r="A9" t="s">
        <v>788</v>
      </c>
      <c r="B9" t="s">
        <v>795</v>
      </c>
      <c r="C9" t="s">
        <v>67</v>
      </c>
      <c r="D9" t="s">
        <v>68</v>
      </c>
      <c r="E9">
        <v>1</v>
      </c>
      <c r="F9" t="s">
        <v>46</v>
      </c>
      <c r="G9" t="s">
        <v>46</v>
      </c>
      <c r="H9" t="s">
        <v>65</v>
      </c>
      <c r="I9" t="s">
        <v>66</v>
      </c>
    </row>
    <row r="10" spans="1:9">
      <c r="A10" t="s">
        <v>788</v>
      </c>
      <c r="B10" t="s">
        <v>796</v>
      </c>
      <c r="C10" t="s">
        <v>67</v>
      </c>
      <c r="D10" t="s">
        <v>71</v>
      </c>
      <c r="E10">
        <v>1</v>
      </c>
      <c r="F10" t="s">
        <v>46</v>
      </c>
      <c r="G10" t="s">
        <v>46</v>
      </c>
      <c r="H10" t="s">
        <v>65</v>
      </c>
      <c r="I10" t="s">
        <v>72</v>
      </c>
    </row>
    <row r="11" spans="1:9">
      <c r="A11" t="s">
        <v>788</v>
      </c>
      <c r="B11" t="s">
        <v>797</v>
      </c>
      <c r="C11" t="s">
        <v>73</v>
      </c>
      <c r="D11" t="s">
        <v>74</v>
      </c>
      <c r="E11">
        <v>1</v>
      </c>
      <c r="F11" t="s">
        <v>46</v>
      </c>
      <c r="G11" t="s">
        <v>46</v>
      </c>
      <c r="H11" t="s">
        <v>65</v>
      </c>
      <c r="I11" t="s">
        <v>72</v>
      </c>
    </row>
    <row r="12" spans="1:9">
      <c r="A12" t="s">
        <v>788</v>
      </c>
      <c r="B12" t="s">
        <v>798</v>
      </c>
      <c r="C12" t="s">
        <v>69</v>
      </c>
      <c r="D12" t="s">
        <v>76</v>
      </c>
      <c r="E12">
        <v>1</v>
      </c>
      <c r="F12" t="s">
        <v>46</v>
      </c>
      <c r="G12" t="s">
        <v>70</v>
      </c>
      <c r="H12" t="s">
        <v>69</v>
      </c>
      <c r="I12" t="s">
        <v>77</v>
      </c>
    </row>
    <row r="13" spans="1:9">
      <c r="A13" t="s">
        <v>788</v>
      </c>
      <c r="B13" t="s">
        <v>799</v>
      </c>
      <c r="C13" t="s">
        <v>63</v>
      </c>
      <c r="D13" t="s">
        <v>78</v>
      </c>
      <c r="E13">
        <v>1</v>
      </c>
      <c r="F13" t="s">
        <v>46</v>
      </c>
      <c r="G13" t="s">
        <v>46</v>
      </c>
      <c r="H13" t="s">
        <v>65</v>
      </c>
      <c r="I13" t="s">
        <v>66</v>
      </c>
    </row>
    <row r="14" spans="1:9">
      <c r="A14" t="s">
        <v>788</v>
      </c>
      <c r="B14" t="s">
        <v>800</v>
      </c>
      <c r="C14" t="s">
        <v>79</v>
      </c>
      <c r="D14" t="s">
        <v>80</v>
      </c>
      <c r="E14">
        <v>1</v>
      </c>
      <c r="F14" t="s">
        <v>46</v>
      </c>
      <c r="G14" t="s">
        <v>46</v>
      </c>
      <c r="H14" t="s">
        <v>65</v>
      </c>
      <c r="I14" t="s">
        <v>72</v>
      </c>
    </row>
    <row r="15" spans="1:9">
      <c r="A15" t="s">
        <v>788</v>
      </c>
      <c r="B15" t="s">
        <v>801</v>
      </c>
      <c r="C15" t="s">
        <v>69</v>
      </c>
      <c r="D15" t="s">
        <v>81</v>
      </c>
      <c r="E15">
        <v>1</v>
      </c>
      <c r="F15" t="s">
        <v>46</v>
      </c>
      <c r="G15" t="s">
        <v>70</v>
      </c>
      <c r="H15" t="s">
        <v>69</v>
      </c>
      <c r="I15" t="s">
        <v>82</v>
      </c>
    </row>
    <row r="16" spans="1:9">
      <c r="A16" t="s">
        <v>788</v>
      </c>
      <c r="B16" t="s">
        <v>802</v>
      </c>
      <c r="C16" t="s">
        <v>69</v>
      </c>
      <c r="D16" t="s">
        <v>83</v>
      </c>
      <c r="E16">
        <v>1</v>
      </c>
      <c r="F16" t="s">
        <v>46</v>
      </c>
      <c r="G16" t="s">
        <v>70</v>
      </c>
      <c r="H16" t="s">
        <v>69</v>
      </c>
      <c r="I16" t="s">
        <v>77</v>
      </c>
    </row>
    <row r="17" spans="1:9">
      <c r="A17" t="s">
        <v>788</v>
      </c>
      <c r="B17" t="s">
        <v>803</v>
      </c>
      <c r="C17" t="s">
        <v>63</v>
      </c>
      <c r="D17" t="s">
        <v>84</v>
      </c>
      <c r="E17">
        <v>1</v>
      </c>
      <c r="F17" t="s">
        <v>46</v>
      </c>
      <c r="G17" t="s">
        <v>46</v>
      </c>
      <c r="H17" t="s">
        <v>65</v>
      </c>
      <c r="I17" t="s">
        <v>66</v>
      </c>
    </row>
    <row r="18" spans="1:9">
      <c r="A18" t="s">
        <v>788</v>
      </c>
      <c r="B18" t="s">
        <v>804</v>
      </c>
      <c r="C18" t="s">
        <v>63</v>
      </c>
      <c r="D18" t="s">
        <v>86</v>
      </c>
      <c r="E18">
        <v>1</v>
      </c>
      <c r="F18" t="s">
        <v>46</v>
      </c>
      <c r="G18" t="s">
        <v>46</v>
      </c>
      <c r="H18" t="s">
        <v>65</v>
      </c>
      <c r="I18" t="s">
        <v>66</v>
      </c>
    </row>
    <row r="19" spans="1:9">
      <c r="A19" t="s">
        <v>788</v>
      </c>
      <c r="B19" t="s">
        <v>805</v>
      </c>
      <c r="C19" t="s">
        <v>89</v>
      </c>
      <c r="D19" t="s">
        <v>90</v>
      </c>
      <c r="E19">
        <v>1</v>
      </c>
      <c r="F19" t="s">
        <v>46</v>
      </c>
      <c r="G19" t="s">
        <v>46</v>
      </c>
      <c r="H19" t="s">
        <v>65</v>
      </c>
      <c r="I19" t="s">
        <v>55</v>
      </c>
    </row>
    <row r="20" spans="1:9">
      <c r="A20" t="s">
        <v>788</v>
      </c>
      <c r="B20" t="s">
        <v>806</v>
      </c>
      <c r="C20" t="s">
        <v>63</v>
      </c>
      <c r="D20" t="s">
        <v>91</v>
      </c>
      <c r="E20">
        <v>1</v>
      </c>
      <c r="F20" t="s">
        <v>46</v>
      </c>
      <c r="G20" t="s">
        <v>46</v>
      </c>
      <c r="H20" t="s">
        <v>65</v>
      </c>
      <c r="I20" t="s">
        <v>66</v>
      </c>
    </row>
    <row r="21" spans="1:9">
      <c r="A21" t="s">
        <v>788</v>
      </c>
      <c r="B21" t="s">
        <v>807</v>
      </c>
      <c r="C21" t="s">
        <v>63</v>
      </c>
      <c r="D21" t="s">
        <v>92</v>
      </c>
      <c r="E21">
        <v>1</v>
      </c>
      <c r="F21" t="s">
        <v>46</v>
      </c>
      <c r="G21" t="s">
        <v>46</v>
      </c>
      <c r="H21" t="s">
        <v>65</v>
      </c>
      <c r="I21" t="s">
        <v>66</v>
      </c>
    </row>
    <row r="22" spans="1:9">
      <c r="A22" t="s">
        <v>788</v>
      </c>
      <c r="B22" t="s">
        <v>808</v>
      </c>
      <c r="C22" t="s">
        <v>93</v>
      </c>
      <c r="D22" t="s">
        <v>94</v>
      </c>
      <c r="E22">
        <v>1</v>
      </c>
      <c r="F22" t="s">
        <v>46</v>
      </c>
      <c r="G22" t="s">
        <v>46</v>
      </c>
      <c r="H22" t="s">
        <v>65</v>
      </c>
      <c r="I22" t="s">
        <v>55</v>
      </c>
    </row>
    <row r="23" spans="1:9">
      <c r="A23" t="s">
        <v>788</v>
      </c>
      <c r="B23" t="s">
        <v>809</v>
      </c>
      <c r="C23" t="s">
        <v>63</v>
      </c>
      <c r="D23" t="s">
        <v>95</v>
      </c>
      <c r="E23">
        <v>1</v>
      </c>
      <c r="F23" t="s">
        <v>46</v>
      </c>
      <c r="G23" t="s">
        <v>46</v>
      </c>
      <c r="H23" t="s">
        <v>65</v>
      </c>
      <c r="I23" t="s">
        <v>66</v>
      </c>
    </row>
    <row r="24" spans="1:9">
      <c r="A24" t="s">
        <v>788</v>
      </c>
      <c r="B24" t="s">
        <v>810</v>
      </c>
      <c r="C24" t="s">
        <v>75</v>
      </c>
      <c r="D24" t="s">
        <v>96</v>
      </c>
      <c r="E24">
        <v>1</v>
      </c>
      <c r="F24" t="s">
        <v>46</v>
      </c>
      <c r="G24" t="s">
        <v>46</v>
      </c>
      <c r="H24" t="s">
        <v>44</v>
      </c>
      <c r="I24" t="s">
        <v>97</v>
      </c>
    </row>
    <row r="25" spans="1:9">
      <c r="A25" t="s">
        <v>788</v>
      </c>
      <c r="B25" t="s">
        <v>811</v>
      </c>
      <c r="C25" t="s">
        <v>69</v>
      </c>
      <c r="D25" t="s">
        <v>98</v>
      </c>
      <c r="E25">
        <v>1</v>
      </c>
      <c r="F25" t="s">
        <v>46</v>
      </c>
      <c r="G25" t="s">
        <v>70</v>
      </c>
      <c r="H25" t="s">
        <v>69</v>
      </c>
      <c r="I25" t="s">
        <v>99</v>
      </c>
    </row>
    <row r="26" spans="1:9">
      <c r="A26" t="s">
        <v>788</v>
      </c>
      <c r="B26" t="s">
        <v>812</v>
      </c>
      <c r="D26" t="s">
        <v>100</v>
      </c>
      <c r="E26">
        <v>1</v>
      </c>
      <c r="F26" t="s">
        <v>49</v>
      </c>
      <c r="G26" t="s">
        <v>52</v>
      </c>
      <c r="H26" t="s">
        <v>52</v>
      </c>
      <c r="I26" t="s">
        <v>101</v>
      </c>
    </row>
    <row r="27" spans="1:9">
      <c r="A27" t="s">
        <v>788</v>
      </c>
      <c r="B27" t="s">
        <v>813</v>
      </c>
      <c r="C27" t="s">
        <v>89</v>
      </c>
      <c r="D27" t="s">
        <v>102</v>
      </c>
      <c r="E27">
        <v>1</v>
      </c>
      <c r="F27" t="s">
        <v>46</v>
      </c>
      <c r="G27" t="s">
        <v>46</v>
      </c>
      <c r="H27" t="s">
        <v>65</v>
      </c>
      <c r="I27" t="s">
        <v>72</v>
      </c>
    </row>
    <row r="28" spans="1:9">
      <c r="A28" t="s">
        <v>788</v>
      </c>
      <c r="B28" t="s">
        <v>814</v>
      </c>
      <c r="C28" t="s">
        <v>69</v>
      </c>
      <c r="D28" t="s">
        <v>103</v>
      </c>
      <c r="E28">
        <v>1</v>
      </c>
      <c r="F28" t="s">
        <v>46</v>
      </c>
      <c r="G28" t="s">
        <v>70</v>
      </c>
      <c r="H28" t="s">
        <v>69</v>
      </c>
      <c r="I28" t="s">
        <v>82</v>
      </c>
    </row>
    <row r="29" spans="1:9">
      <c r="A29" t="s">
        <v>788</v>
      </c>
      <c r="B29" t="s">
        <v>815</v>
      </c>
      <c r="D29" t="s">
        <v>106</v>
      </c>
      <c r="E29">
        <v>1</v>
      </c>
      <c r="F29" t="s">
        <v>49</v>
      </c>
      <c r="G29" t="s">
        <v>107</v>
      </c>
      <c r="H29" t="s">
        <v>107</v>
      </c>
      <c r="I29" t="s">
        <v>108</v>
      </c>
    </row>
    <row r="30" spans="1:9">
      <c r="A30" t="s">
        <v>788</v>
      </c>
      <c r="B30" t="s">
        <v>816</v>
      </c>
      <c r="D30" t="s">
        <v>109</v>
      </c>
      <c r="E30">
        <v>1</v>
      </c>
      <c r="F30" t="s">
        <v>46</v>
      </c>
      <c r="G30" t="s">
        <v>46</v>
      </c>
      <c r="H30" t="s">
        <v>58</v>
      </c>
      <c r="I30" t="s">
        <v>110</v>
      </c>
    </row>
    <row r="31" spans="1:9">
      <c r="A31" t="s">
        <v>788</v>
      </c>
      <c r="B31" t="s">
        <v>817</v>
      </c>
      <c r="D31" t="s">
        <v>113</v>
      </c>
      <c r="E31">
        <v>1</v>
      </c>
      <c r="F31" t="s">
        <v>46</v>
      </c>
      <c r="G31" t="s">
        <v>114</v>
      </c>
      <c r="H31" t="s">
        <v>114</v>
      </c>
      <c r="I31" t="s">
        <v>115</v>
      </c>
    </row>
    <row r="32" spans="1:9">
      <c r="A32" t="s">
        <v>788</v>
      </c>
      <c r="B32" t="s">
        <v>818</v>
      </c>
      <c r="D32" t="s">
        <v>120</v>
      </c>
      <c r="E32">
        <v>1</v>
      </c>
      <c r="F32" t="s">
        <v>46</v>
      </c>
      <c r="G32" t="s">
        <v>114</v>
      </c>
      <c r="H32" t="s">
        <v>114</v>
      </c>
      <c r="I32" t="s">
        <v>55</v>
      </c>
    </row>
    <row r="33" spans="1:9">
      <c r="A33" t="s">
        <v>788</v>
      </c>
      <c r="B33" t="s">
        <v>819</v>
      </c>
      <c r="C33" t="s">
        <v>88</v>
      </c>
      <c r="D33" t="s">
        <v>122</v>
      </c>
      <c r="E33">
        <v>1</v>
      </c>
      <c r="F33" t="s">
        <v>46</v>
      </c>
      <c r="G33" t="s">
        <v>46</v>
      </c>
      <c r="H33" t="s">
        <v>65</v>
      </c>
      <c r="I33" t="s">
        <v>72</v>
      </c>
    </row>
    <row r="34" spans="1:9">
      <c r="A34" t="s">
        <v>788</v>
      </c>
      <c r="B34" t="s">
        <v>820</v>
      </c>
      <c r="C34" t="s">
        <v>93</v>
      </c>
      <c r="D34" t="s">
        <v>123</v>
      </c>
      <c r="E34">
        <v>1</v>
      </c>
      <c r="F34" t="s">
        <v>46</v>
      </c>
      <c r="G34" t="s">
        <v>46</v>
      </c>
      <c r="H34" t="s">
        <v>65</v>
      </c>
      <c r="I34" t="s">
        <v>72</v>
      </c>
    </row>
    <row r="35" spans="1:9">
      <c r="A35" t="s">
        <v>788</v>
      </c>
      <c r="B35" t="s">
        <v>821</v>
      </c>
      <c r="C35" t="s">
        <v>124</v>
      </c>
      <c r="D35" t="s">
        <v>125</v>
      </c>
      <c r="E35">
        <v>1</v>
      </c>
      <c r="F35" t="s">
        <v>46</v>
      </c>
      <c r="G35" t="s">
        <v>46</v>
      </c>
      <c r="H35" t="s">
        <v>44</v>
      </c>
      <c r="I35" t="s">
        <v>124</v>
      </c>
    </row>
    <row r="36" spans="1:9">
      <c r="A36" t="s">
        <v>788</v>
      </c>
      <c r="B36" t="s">
        <v>822</v>
      </c>
      <c r="C36" t="s">
        <v>63</v>
      </c>
      <c r="D36" t="s">
        <v>126</v>
      </c>
      <c r="E36">
        <v>1</v>
      </c>
      <c r="F36" t="s">
        <v>46</v>
      </c>
      <c r="G36" t="s">
        <v>46</v>
      </c>
      <c r="H36" t="s">
        <v>65</v>
      </c>
      <c r="I36" t="s">
        <v>55</v>
      </c>
    </row>
    <row r="37" spans="1:9">
      <c r="A37" t="s">
        <v>788</v>
      </c>
      <c r="B37" t="s">
        <v>823</v>
      </c>
      <c r="C37" t="s">
        <v>67</v>
      </c>
      <c r="D37" t="s">
        <v>127</v>
      </c>
      <c r="E37">
        <v>1</v>
      </c>
      <c r="F37" t="s">
        <v>46</v>
      </c>
      <c r="G37" t="s">
        <v>46</v>
      </c>
      <c r="H37" t="s">
        <v>65</v>
      </c>
      <c r="I37" t="s">
        <v>66</v>
      </c>
    </row>
    <row r="38" spans="1:9">
      <c r="A38" t="s">
        <v>788</v>
      </c>
      <c r="B38" t="s">
        <v>824</v>
      </c>
      <c r="C38" t="s">
        <v>67</v>
      </c>
      <c r="D38" t="s">
        <v>128</v>
      </c>
      <c r="E38">
        <v>1</v>
      </c>
      <c r="F38" t="s">
        <v>46</v>
      </c>
      <c r="G38" t="s">
        <v>46</v>
      </c>
      <c r="H38" t="s">
        <v>65</v>
      </c>
      <c r="I38" t="s">
        <v>66</v>
      </c>
    </row>
    <row r="39" spans="1:9">
      <c r="A39" t="s">
        <v>788</v>
      </c>
      <c r="B39" t="s">
        <v>825</v>
      </c>
      <c r="C39" t="s">
        <v>85</v>
      </c>
      <c r="D39" t="s">
        <v>129</v>
      </c>
      <c r="E39">
        <v>1</v>
      </c>
      <c r="F39" t="s">
        <v>46</v>
      </c>
      <c r="G39" t="s">
        <v>46</v>
      </c>
      <c r="H39" t="s">
        <v>65</v>
      </c>
      <c r="I39" t="s">
        <v>66</v>
      </c>
    </row>
    <row r="40" spans="1:9">
      <c r="A40" t="s">
        <v>788</v>
      </c>
      <c r="B40" t="s">
        <v>826</v>
      </c>
      <c r="C40" t="s">
        <v>88</v>
      </c>
      <c r="D40" t="s">
        <v>130</v>
      </c>
      <c r="E40">
        <v>1</v>
      </c>
      <c r="F40" t="s">
        <v>46</v>
      </c>
      <c r="G40" t="s">
        <v>46</v>
      </c>
      <c r="H40" t="s">
        <v>65</v>
      </c>
      <c r="I40" t="s">
        <v>66</v>
      </c>
    </row>
    <row r="41" spans="1:9">
      <c r="A41" t="s">
        <v>788</v>
      </c>
      <c r="B41" t="s">
        <v>827</v>
      </c>
      <c r="C41" t="s">
        <v>93</v>
      </c>
      <c r="D41" t="s">
        <v>131</v>
      </c>
      <c r="E41">
        <v>1</v>
      </c>
      <c r="F41" t="s">
        <v>46</v>
      </c>
      <c r="G41" t="s">
        <v>46</v>
      </c>
      <c r="H41" t="s">
        <v>65</v>
      </c>
      <c r="I41" t="s">
        <v>55</v>
      </c>
    </row>
    <row r="42" spans="1:9">
      <c r="A42" t="s">
        <v>788</v>
      </c>
      <c r="B42" t="s">
        <v>828</v>
      </c>
      <c r="C42" t="s">
        <v>67</v>
      </c>
      <c r="D42" t="s">
        <v>132</v>
      </c>
      <c r="E42">
        <v>1</v>
      </c>
      <c r="F42" t="s">
        <v>46</v>
      </c>
      <c r="G42" t="s">
        <v>46</v>
      </c>
      <c r="H42" t="s">
        <v>65</v>
      </c>
      <c r="I42" t="s">
        <v>66</v>
      </c>
    </row>
    <row r="43" spans="1:9">
      <c r="A43" t="s">
        <v>788</v>
      </c>
      <c r="B43" t="s">
        <v>829</v>
      </c>
      <c r="C43" t="s">
        <v>67</v>
      </c>
      <c r="D43" t="s">
        <v>134</v>
      </c>
      <c r="E43">
        <v>1</v>
      </c>
      <c r="F43" t="s">
        <v>46</v>
      </c>
      <c r="G43" t="s">
        <v>46</v>
      </c>
      <c r="H43" t="s">
        <v>65</v>
      </c>
      <c r="I43" t="s">
        <v>55</v>
      </c>
    </row>
    <row r="44" spans="1:9">
      <c r="A44" t="s">
        <v>788</v>
      </c>
      <c r="B44" t="s">
        <v>830</v>
      </c>
      <c r="C44" t="s">
        <v>67</v>
      </c>
      <c r="D44" t="s">
        <v>135</v>
      </c>
      <c r="E44">
        <v>1</v>
      </c>
      <c r="F44" t="s">
        <v>46</v>
      </c>
      <c r="G44" t="s">
        <v>46</v>
      </c>
      <c r="H44" t="s">
        <v>65</v>
      </c>
      <c r="I44" t="s">
        <v>66</v>
      </c>
    </row>
    <row r="45" spans="1:9">
      <c r="A45" t="s">
        <v>788</v>
      </c>
      <c r="B45" t="s">
        <v>831</v>
      </c>
      <c r="C45" t="s">
        <v>85</v>
      </c>
      <c r="D45" t="s">
        <v>136</v>
      </c>
      <c r="E45">
        <v>1</v>
      </c>
      <c r="F45" t="s">
        <v>46</v>
      </c>
      <c r="G45" t="s">
        <v>46</v>
      </c>
      <c r="H45" t="s">
        <v>65</v>
      </c>
      <c r="I45" t="s">
        <v>55</v>
      </c>
    </row>
    <row r="46" spans="1:9">
      <c r="A46" t="s">
        <v>788</v>
      </c>
      <c r="B46" t="s">
        <v>832</v>
      </c>
      <c r="C46" t="s">
        <v>88</v>
      </c>
      <c r="D46" t="s">
        <v>137</v>
      </c>
      <c r="E46">
        <v>1</v>
      </c>
      <c r="F46" t="s">
        <v>46</v>
      </c>
      <c r="G46" t="s">
        <v>46</v>
      </c>
      <c r="H46" t="s">
        <v>65</v>
      </c>
      <c r="I46" t="s">
        <v>66</v>
      </c>
    </row>
    <row r="47" spans="1:9">
      <c r="A47" t="s">
        <v>788</v>
      </c>
      <c r="B47" t="s">
        <v>833</v>
      </c>
      <c r="C47" t="s">
        <v>67</v>
      </c>
      <c r="D47" t="s">
        <v>138</v>
      </c>
      <c r="E47">
        <v>1</v>
      </c>
      <c r="F47" t="s">
        <v>46</v>
      </c>
      <c r="G47" t="s">
        <v>46</v>
      </c>
      <c r="H47" t="s">
        <v>65</v>
      </c>
      <c r="I47" t="s">
        <v>66</v>
      </c>
    </row>
    <row r="48" spans="1:9">
      <c r="A48" t="s">
        <v>788</v>
      </c>
      <c r="B48" t="s">
        <v>834</v>
      </c>
      <c r="C48" t="s">
        <v>88</v>
      </c>
      <c r="D48" t="s">
        <v>139</v>
      </c>
      <c r="E48">
        <v>1</v>
      </c>
      <c r="F48" t="s">
        <v>46</v>
      </c>
      <c r="G48" t="s">
        <v>46</v>
      </c>
      <c r="H48" t="s">
        <v>65</v>
      </c>
      <c r="I48" t="s">
        <v>66</v>
      </c>
    </row>
    <row r="49" spans="1:9">
      <c r="A49" t="s">
        <v>788</v>
      </c>
      <c r="B49" t="s">
        <v>835</v>
      </c>
      <c r="C49" t="s">
        <v>67</v>
      </c>
      <c r="D49" t="s">
        <v>140</v>
      </c>
      <c r="E49">
        <v>1</v>
      </c>
      <c r="F49" t="s">
        <v>46</v>
      </c>
      <c r="G49" t="s">
        <v>46</v>
      </c>
      <c r="H49" t="s">
        <v>65</v>
      </c>
      <c r="I49" t="s">
        <v>66</v>
      </c>
    </row>
    <row r="50" spans="1:9">
      <c r="A50" t="s">
        <v>788</v>
      </c>
      <c r="B50" t="s">
        <v>836</v>
      </c>
      <c r="C50" t="s">
        <v>67</v>
      </c>
      <c r="D50" t="s">
        <v>141</v>
      </c>
      <c r="E50">
        <v>1</v>
      </c>
      <c r="F50" t="s">
        <v>46</v>
      </c>
      <c r="G50" t="s">
        <v>46</v>
      </c>
      <c r="H50" t="s">
        <v>65</v>
      </c>
      <c r="I50" t="s">
        <v>66</v>
      </c>
    </row>
    <row r="51" spans="1:9">
      <c r="A51" t="s">
        <v>788</v>
      </c>
      <c r="B51" t="s">
        <v>837</v>
      </c>
      <c r="C51" t="s">
        <v>142</v>
      </c>
      <c r="D51" t="s">
        <v>143</v>
      </c>
      <c r="E51">
        <v>1</v>
      </c>
      <c r="F51" t="s">
        <v>46</v>
      </c>
      <c r="G51" t="s">
        <v>46</v>
      </c>
      <c r="H51" t="s">
        <v>65</v>
      </c>
      <c r="I51" t="s">
        <v>66</v>
      </c>
    </row>
    <row r="52" spans="1:9">
      <c r="A52" t="s">
        <v>788</v>
      </c>
      <c r="B52" t="s">
        <v>838</v>
      </c>
      <c r="C52" t="s">
        <v>88</v>
      </c>
      <c r="D52" t="s">
        <v>144</v>
      </c>
      <c r="E52">
        <v>1</v>
      </c>
      <c r="F52" t="s">
        <v>46</v>
      </c>
      <c r="G52" t="s">
        <v>46</v>
      </c>
      <c r="H52" t="s">
        <v>65</v>
      </c>
      <c r="I52" t="s">
        <v>66</v>
      </c>
    </row>
    <row r="53" spans="1:9">
      <c r="A53" t="s">
        <v>788</v>
      </c>
      <c r="B53" t="s">
        <v>839</v>
      </c>
      <c r="C53" t="s">
        <v>88</v>
      </c>
      <c r="D53" t="s">
        <v>145</v>
      </c>
      <c r="E53">
        <v>1</v>
      </c>
      <c r="F53" t="s">
        <v>46</v>
      </c>
      <c r="G53" t="s">
        <v>46</v>
      </c>
      <c r="H53" t="s">
        <v>65</v>
      </c>
      <c r="I53" t="s">
        <v>66</v>
      </c>
    </row>
    <row r="54" spans="1:9">
      <c r="A54" t="s">
        <v>788</v>
      </c>
      <c r="B54" t="s">
        <v>840</v>
      </c>
      <c r="C54" t="s">
        <v>69</v>
      </c>
      <c r="D54" t="s">
        <v>146</v>
      </c>
      <c r="E54">
        <v>1</v>
      </c>
      <c r="F54" t="s">
        <v>46</v>
      </c>
      <c r="G54" t="s">
        <v>70</v>
      </c>
      <c r="H54" t="s">
        <v>69</v>
      </c>
      <c r="I54" t="s">
        <v>82</v>
      </c>
    </row>
    <row r="55" spans="1:9">
      <c r="A55" t="s">
        <v>788</v>
      </c>
      <c r="B55" t="s">
        <v>841</v>
      </c>
      <c r="C55" t="s">
        <v>67</v>
      </c>
      <c r="D55" t="s">
        <v>148</v>
      </c>
      <c r="E55">
        <v>1</v>
      </c>
      <c r="F55" t="s">
        <v>46</v>
      </c>
      <c r="G55" t="s">
        <v>46</v>
      </c>
      <c r="H55" t="s">
        <v>65</v>
      </c>
      <c r="I55" t="s">
        <v>66</v>
      </c>
    </row>
    <row r="56" spans="1:9">
      <c r="A56" t="s">
        <v>788</v>
      </c>
      <c r="B56" t="s">
        <v>842</v>
      </c>
      <c r="C56" t="s">
        <v>88</v>
      </c>
      <c r="D56" t="s">
        <v>149</v>
      </c>
      <c r="E56">
        <v>1</v>
      </c>
      <c r="F56" t="s">
        <v>46</v>
      </c>
      <c r="G56" t="s">
        <v>46</v>
      </c>
      <c r="H56" t="s">
        <v>65</v>
      </c>
      <c r="I56" t="s">
        <v>66</v>
      </c>
    </row>
    <row r="57" spans="1:9">
      <c r="A57" t="s">
        <v>788</v>
      </c>
      <c r="B57" t="s">
        <v>843</v>
      </c>
      <c r="C57" t="s">
        <v>67</v>
      </c>
      <c r="D57" t="s">
        <v>150</v>
      </c>
      <c r="E57">
        <v>1</v>
      </c>
      <c r="F57" t="s">
        <v>46</v>
      </c>
      <c r="G57" t="s">
        <v>46</v>
      </c>
      <c r="H57" t="s">
        <v>65</v>
      </c>
      <c r="I57" t="s">
        <v>66</v>
      </c>
    </row>
    <row r="58" spans="1:9">
      <c r="A58" t="s">
        <v>788</v>
      </c>
      <c r="B58" t="s">
        <v>844</v>
      </c>
      <c r="D58" t="s">
        <v>152</v>
      </c>
      <c r="E58">
        <v>1</v>
      </c>
      <c r="F58" t="s">
        <v>46</v>
      </c>
      <c r="G58" t="s">
        <v>70</v>
      </c>
      <c r="H58" t="s">
        <v>153</v>
      </c>
      <c r="I58" t="s">
        <v>153</v>
      </c>
    </row>
    <row r="59" spans="1:9">
      <c r="A59" t="s">
        <v>788</v>
      </c>
      <c r="B59" t="s">
        <v>845</v>
      </c>
      <c r="C59" t="s">
        <v>88</v>
      </c>
      <c r="D59" t="s">
        <v>156</v>
      </c>
      <c r="E59">
        <v>1</v>
      </c>
      <c r="F59" t="s">
        <v>46</v>
      </c>
      <c r="G59" t="s">
        <v>46</v>
      </c>
      <c r="H59" t="s">
        <v>65</v>
      </c>
      <c r="I59" t="s">
        <v>66</v>
      </c>
    </row>
    <row r="60" spans="1:9">
      <c r="A60" t="s">
        <v>788</v>
      </c>
      <c r="B60" t="s">
        <v>846</v>
      </c>
      <c r="C60" t="s">
        <v>67</v>
      </c>
      <c r="D60" t="s">
        <v>157</v>
      </c>
      <c r="E60">
        <v>1</v>
      </c>
      <c r="F60" t="s">
        <v>46</v>
      </c>
      <c r="G60" t="s">
        <v>46</v>
      </c>
      <c r="H60" t="s">
        <v>65</v>
      </c>
      <c r="I60" t="s">
        <v>66</v>
      </c>
    </row>
    <row r="61" spans="1:9">
      <c r="A61" t="s">
        <v>788</v>
      </c>
      <c r="B61" t="s">
        <v>847</v>
      </c>
      <c r="C61" t="s">
        <v>67</v>
      </c>
      <c r="D61" t="s">
        <v>158</v>
      </c>
      <c r="E61">
        <v>1</v>
      </c>
      <c r="F61" t="s">
        <v>46</v>
      </c>
      <c r="G61" t="s">
        <v>46</v>
      </c>
      <c r="H61" t="s">
        <v>65</v>
      </c>
      <c r="I61" t="s">
        <v>66</v>
      </c>
    </row>
    <row r="62" spans="1:9">
      <c r="A62" t="s">
        <v>788</v>
      </c>
      <c r="B62" t="s">
        <v>848</v>
      </c>
      <c r="C62" t="s">
        <v>88</v>
      </c>
      <c r="D62" t="s">
        <v>159</v>
      </c>
      <c r="E62">
        <v>1</v>
      </c>
      <c r="F62" t="s">
        <v>46</v>
      </c>
      <c r="G62" t="s">
        <v>46</v>
      </c>
      <c r="H62" t="s">
        <v>65</v>
      </c>
      <c r="I62" t="s">
        <v>66</v>
      </c>
    </row>
    <row r="63" spans="1:9">
      <c r="A63" t="s">
        <v>788</v>
      </c>
      <c r="B63" t="s">
        <v>849</v>
      </c>
      <c r="C63" t="s">
        <v>88</v>
      </c>
      <c r="D63" t="s">
        <v>87</v>
      </c>
      <c r="E63">
        <v>1</v>
      </c>
      <c r="F63" t="s">
        <v>46</v>
      </c>
      <c r="G63" t="s">
        <v>46</v>
      </c>
      <c r="H63" t="s">
        <v>65</v>
      </c>
      <c r="I63" t="s">
        <v>66</v>
      </c>
    </row>
    <row r="64" spans="1:9">
      <c r="A64" t="s">
        <v>788</v>
      </c>
      <c r="B64" t="s">
        <v>850</v>
      </c>
      <c r="C64" t="s">
        <v>142</v>
      </c>
      <c r="D64" t="s">
        <v>161</v>
      </c>
      <c r="E64">
        <v>1</v>
      </c>
      <c r="F64" t="s">
        <v>46</v>
      </c>
      <c r="G64" t="s">
        <v>46</v>
      </c>
      <c r="H64" t="s">
        <v>65</v>
      </c>
      <c r="I64" t="s">
        <v>72</v>
      </c>
    </row>
    <row r="65" spans="1:9">
      <c r="A65" t="s">
        <v>788</v>
      </c>
      <c r="B65" t="s">
        <v>851</v>
      </c>
      <c r="C65" t="s">
        <v>69</v>
      </c>
      <c r="D65" t="s">
        <v>162</v>
      </c>
      <c r="E65">
        <v>1</v>
      </c>
      <c r="F65" t="s">
        <v>46</v>
      </c>
      <c r="G65" t="s">
        <v>70</v>
      </c>
      <c r="H65" t="s">
        <v>69</v>
      </c>
      <c r="I65" t="s">
        <v>82</v>
      </c>
    </row>
    <row r="66" spans="1:9">
      <c r="A66" t="s">
        <v>788</v>
      </c>
      <c r="B66" t="s">
        <v>852</v>
      </c>
      <c r="C66" t="s">
        <v>69</v>
      </c>
      <c r="D66" t="s">
        <v>163</v>
      </c>
      <c r="E66">
        <v>1</v>
      </c>
      <c r="F66" t="s">
        <v>46</v>
      </c>
      <c r="G66" t="s">
        <v>70</v>
      </c>
      <c r="H66" t="s">
        <v>69</v>
      </c>
      <c r="I66" t="s">
        <v>82</v>
      </c>
    </row>
    <row r="67" spans="1:9">
      <c r="A67" t="s">
        <v>788</v>
      </c>
      <c r="B67" t="s">
        <v>853</v>
      </c>
      <c r="C67" t="s">
        <v>63</v>
      </c>
      <c r="D67" t="s">
        <v>164</v>
      </c>
      <c r="E67">
        <v>1</v>
      </c>
      <c r="F67" t="s">
        <v>46</v>
      </c>
      <c r="G67" t="s">
        <v>46</v>
      </c>
      <c r="H67" t="s">
        <v>65</v>
      </c>
      <c r="I67" t="s">
        <v>72</v>
      </c>
    </row>
    <row r="68" spans="1:9">
      <c r="A68" t="s">
        <v>788</v>
      </c>
      <c r="B68" t="s">
        <v>854</v>
      </c>
      <c r="C68" t="s">
        <v>69</v>
      </c>
      <c r="D68" t="s">
        <v>167</v>
      </c>
      <c r="E68">
        <v>1</v>
      </c>
      <c r="F68" t="s">
        <v>46</v>
      </c>
      <c r="G68" t="s">
        <v>70</v>
      </c>
      <c r="H68" t="s">
        <v>69</v>
      </c>
      <c r="I68" t="s">
        <v>77</v>
      </c>
    </row>
    <row r="69" spans="1:9">
      <c r="A69" t="s">
        <v>788</v>
      </c>
      <c r="B69" t="s">
        <v>855</v>
      </c>
      <c r="C69" t="s">
        <v>69</v>
      </c>
      <c r="D69" t="s">
        <v>168</v>
      </c>
      <c r="E69">
        <v>1</v>
      </c>
      <c r="F69" t="s">
        <v>46</v>
      </c>
      <c r="G69" t="s">
        <v>70</v>
      </c>
      <c r="H69" t="s">
        <v>69</v>
      </c>
      <c r="I69" t="s">
        <v>82</v>
      </c>
    </row>
    <row r="70" spans="1:9">
      <c r="A70" t="s">
        <v>788</v>
      </c>
      <c r="B70" t="s">
        <v>856</v>
      </c>
      <c r="D70" t="s">
        <v>169</v>
      </c>
      <c r="E70">
        <v>1</v>
      </c>
      <c r="F70" t="s">
        <v>49</v>
      </c>
      <c r="G70" t="s">
        <v>52</v>
      </c>
      <c r="H70" t="s">
        <v>52</v>
      </c>
      <c r="I70" t="s">
        <v>170</v>
      </c>
    </row>
    <row r="71" spans="1:9">
      <c r="A71" t="s">
        <v>788</v>
      </c>
      <c r="B71" t="s">
        <v>857</v>
      </c>
      <c r="D71" t="s">
        <v>172</v>
      </c>
      <c r="E71">
        <v>1</v>
      </c>
      <c r="F71" t="s">
        <v>46</v>
      </c>
      <c r="G71" t="s">
        <v>114</v>
      </c>
      <c r="H71" t="s">
        <v>114</v>
      </c>
      <c r="I71" t="s">
        <v>173</v>
      </c>
    </row>
    <row r="72" spans="1:9">
      <c r="A72" t="s">
        <v>788</v>
      </c>
      <c r="B72" t="s">
        <v>858</v>
      </c>
      <c r="C72" t="s">
        <v>88</v>
      </c>
      <c r="D72" t="s">
        <v>174</v>
      </c>
      <c r="E72">
        <v>1</v>
      </c>
      <c r="F72" t="s">
        <v>46</v>
      </c>
      <c r="G72" t="s">
        <v>46</v>
      </c>
      <c r="H72" t="s">
        <v>65</v>
      </c>
      <c r="I72" t="s">
        <v>55</v>
      </c>
    </row>
    <row r="73" spans="1:9">
      <c r="A73" t="s">
        <v>788</v>
      </c>
      <c r="B73" t="s">
        <v>859</v>
      </c>
      <c r="D73" t="s">
        <v>176</v>
      </c>
      <c r="E73">
        <v>1</v>
      </c>
      <c r="F73" t="s">
        <v>46</v>
      </c>
      <c r="G73" t="s">
        <v>70</v>
      </c>
      <c r="H73" t="s">
        <v>177</v>
      </c>
      <c r="I73" t="s">
        <v>43</v>
      </c>
    </row>
    <row r="74" spans="1:9">
      <c r="A74" t="s">
        <v>788</v>
      </c>
      <c r="B74" t="s">
        <v>860</v>
      </c>
      <c r="C74" t="s">
        <v>85</v>
      </c>
      <c r="D74" t="s">
        <v>178</v>
      </c>
      <c r="E74">
        <v>1</v>
      </c>
      <c r="F74" t="s">
        <v>46</v>
      </c>
      <c r="G74" t="s">
        <v>46</v>
      </c>
      <c r="H74" t="s">
        <v>65</v>
      </c>
      <c r="I74" t="s">
        <v>72</v>
      </c>
    </row>
    <row r="75" spans="1:9">
      <c r="A75" t="s">
        <v>788</v>
      </c>
      <c r="B75" t="s">
        <v>861</v>
      </c>
      <c r="D75" t="s">
        <v>179</v>
      </c>
      <c r="E75">
        <v>1</v>
      </c>
      <c r="F75" t="s">
        <v>46</v>
      </c>
      <c r="G75" t="s">
        <v>114</v>
      </c>
      <c r="H75" t="s">
        <v>114</v>
      </c>
      <c r="I75" t="s">
        <v>180</v>
      </c>
    </row>
    <row r="76" spans="1:9">
      <c r="A76" t="s">
        <v>788</v>
      </c>
      <c r="B76" t="s">
        <v>862</v>
      </c>
      <c r="D76" t="s">
        <v>181</v>
      </c>
      <c r="E76">
        <v>1</v>
      </c>
      <c r="F76" t="s">
        <v>46</v>
      </c>
      <c r="G76" t="s">
        <v>114</v>
      </c>
      <c r="H76" t="s">
        <v>114</v>
      </c>
      <c r="I76" t="s">
        <v>182</v>
      </c>
    </row>
    <row r="77" spans="1:9">
      <c r="A77" t="s">
        <v>788</v>
      </c>
      <c r="B77" t="s">
        <v>863</v>
      </c>
      <c r="D77" t="s">
        <v>183</v>
      </c>
      <c r="E77">
        <v>1</v>
      </c>
      <c r="F77" t="s">
        <v>46</v>
      </c>
      <c r="G77" t="s">
        <v>114</v>
      </c>
      <c r="H77" t="s">
        <v>114</v>
      </c>
      <c r="I77" t="s">
        <v>173</v>
      </c>
    </row>
    <row r="78" spans="1:9">
      <c r="A78" t="s">
        <v>788</v>
      </c>
      <c r="B78" t="s">
        <v>864</v>
      </c>
      <c r="D78" t="s">
        <v>184</v>
      </c>
      <c r="E78">
        <v>1</v>
      </c>
      <c r="F78" t="s">
        <v>49</v>
      </c>
      <c r="G78" t="s">
        <v>107</v>
      </c>
      <c r="H78" t="s">
        <v>107</v>
      </c>
      <c r="I78" t="s">
        <v>185</v>
      </c>
    </row>
    <row r="79" spans="1:9">
      <c r="A79" t="s">
        <v>788</v>
      </c>
      <c r="B79" t="s">
        <v>865</v>
      </c>
      <c r="D79" t="s">
        <v>186</v>
      </c>
      <c r="E79">
        <v>1</v>
      </c>
      <c r="F79" t="s">
        <v>46</v>
      </c>
      <c r="G79" t="s">
        <v>70</v>
      </c>
      <c r="H79" t="s">
        <v>177</v>
      </c>
      <c r="I79" t="s">
        <v>187</v>
      </c>
    </row>
    <row r="80" spans="1:9">
      <c r="A80" t="s">
        <v>788</v>
      </c>
      <c r="B80" t="s">
        <v>866</v>
      </c>
      <c r="D80" t="s">
        <v>188</v>
      </c>
      <c r="E80">
        <v>1</v>
      </c>
      <c r="F80" t="s">
        <v>46</v>
      </c>
      <c r="G80" t="s">
        <v>114</v>
      </c>
      <c r="H80" t="s">
        <v>114</v>
      </c>
      <c r="I80" t="s">
        <v>173</v>
      </c>
    </row>
    <row r="81" spans="1:9">
      <c r="A81" t="s">
        <v>788</v>
      </c>
      <c r="B81" t="s">
        <v>867</v>
      </c>
      <c r="D81" t="s">
        <v>189</v>
      </c>
      <c r="E81">
        <v>1</v>
      </c>
      <c r="F81" t="s">
        <v>46</v>
      </c>
      <c r="G81" t="s">
        <v>46</v>
      </c>
      <c r="H81" t="s">
        <v>58</v>
      </c>
      <c r="I81" t="s">
        <v>58</v>
      </c>
    </row>
    <row r="82" spans="1:9">
      <c r="A82" t="s">
        <v>788</v>
      </c>
      <c r="B82" t="s">
        <v>868</v>
      </c>
      <c r="D82" t="s">
        <v>190</v>
      </c>
      <c r="E82">
        <v>1</v>
      </c>
      <c r="F82" t="s">
        <v>46</v>
      </c>
      <c r="G82" t="s">
        <v>70</v>
      </c>
      <c r="H82" t="s">
        <v>177</v>
      </c>
      <c r="I82" t="s">
        <v>191</v>
      </c>
    </row>
    <row r="83" spans="1:9">
      <c r="A83" t="s">
        <v>788</v>
      </c>
      <c r="B83" t="s">
        <v>869</v>
      </c>
      <c r="D83" t="s">
        <v>192</v>
      </c>
      <c r="E83">
        <v>1</v>
      </c>
      <c r="F83" t="s">
        <v>46</v>
      </c>
      <c r="G83" t="s">
        <v>70</v>
      </c>
      <c r="H83" t="s">
        <v>177</v>
      </c>
      <c r="I83" t="s">
        <v>191</v>
      </c>
    </row>
    <row r="84" spans="1:9">
      <c r="A84" t="s">
        <v>788</v>
      </c>
      <c r="B84" t="s">
        <v>870</v>
      </c>
      <c r="C84" t="s">
        <v>69</v>
      </c>
      <c r="D84" t="s">
        <v>193</v>
      </c>
      <c r="E84">
        <v>1</v>
      </c>
      <c r="F84" t="s">
        <v>46</v>
      </c>
      <c r="G84" t="s">
        <v>70</v>
      </c>
      <c r="H84" t="s">
        <v>69</v>
      </c>
      <c r="I84" t="s">
        <v>82</v>
      </c>
    </row>
    <row r="85" spans="1:9">
      <c r="A85" t="s">
        <v>788</v>
      </c>
      <c r="B85" t="s">
        <v>871</v>
      </c>
      <c r="C85" t="s">
        <v>142</v>
      </c>
      <c r="D85" t="s">
        <v>194</v>
      </c>
      <c r="E85">
        <v>1</v>
      </c>
      <c r="F85" t="s">
        <v>46</v>
      </c>
      <c r="G85" t="s">
        <v>46</v>
      </c>
      <c r="H85" t="s">
        <v>65</v>
      </c>
      <c r="I85" t="s">
        <v>66</v>
      </c>
    </row>
    <row r="86" spans="1:9">
      <c r="A86" t="s">
        <v>788</v>
      </c>
      <c r="B86" t="s">
        <v>872</v>
      </c>
      <c r="C86" t="s">
        <v>195</v>
      </c>
      <c r="D86" t="s">
        <v>196</v>
      </c>
      <c r="E86">
        <v>1</v>
      </c>
      <c r="F86" t="s">
        <v>46</v>
      </c>
      <c r="G86" t="s">
        <v>46</v>
      </c>
      <c r="H86" t="s">
        <v>65</v>
      </c>
      <c r="I86" t="s">
        <v>66</v>
      </c>
    </row>
    <row r="87" spans="1:9">
      <c r="A87" t="s">
        <v>788</v>
      </c>
      <c r="B87" t="s">
        <v>873</v>
      </c>
      <c r="C87" t="s">
        <v>63</v>
      </c>
      <c r="D87" t="s">
        <v>197</v>
      </c>
      <c r="E87">
        <v>1</v>
      </c>
      <c r="F87" t="s">
        <v>46</v>
      </c>
      <c r="G87" t="s">
        <v>46</v>
      </c>
      <c r="H87" t="s">
        <v>65</v>
      </c>
      <c r="I87" t="s">
        <v>55</v>
      </c>
    </row>
    <row r="88" spans="1:9">
      <c r="A88" t="s">
        <v>788</v>
      </c>
      <c r="B88" t="s">
        <v>874</v>
      </c>
      <c r="C88" t="s">
        <v>63</v>
      </c>
      <c r="D88" t="s">
        <v>198</v>
      </c>
      <c r="E88">
        <v>1</v>
      </c>
      <c r="F88" t="s">
        <v>46</v>
      </c>
      <c r="G88" t="s">
        <v>46</v>
      </c>
      <c r="H88" t="s">
        <v>65</v>
      </c>
      <c r="I88" t="s">
        <v>66</v>
      </c>
    </row>
    <row r="89" spans="1:9">
      <c r="A89" t="s">
        <v>788</v>
      </c>
      <c r="B89" t="s">
        <v>875</v>
      </c>
      <c r="C89" t="s">
        <v>85</v>
      </c>
      <c r="D89" t="s">
        <v>199</v>
      </c>
      <c r="E89">
        <v>1</v>
      </c>
      <c r="F89" t="s">
        <v>46</v>
      </c>
      <c r="G89" t="s">
        <v>46</v>
      </c>
      <c r="H89" t="s">
        <v>65</v>
      </c>
      <c r="I89" t="s">
        <v>66</v>
      </c>
    </row>
    <row r="90" spans="1:9">
      <c r="A90" t="s">
        <v>788</v>
      </c>
      <c r="B90" t="s">
        <v>876</v>
      </c>
      <c r="C90" t="s">
        <v>85</v>
      </c>
      <c r="D90" t="s">
        <v>200</v>
      </c>
      <c r="E90">
        <v>1</v>
      </c>
      <c r="F90" t="s">
        <v>46</v>
      </c>
      <c r="G90" t="s">
        <v>46</v>
      </c>
      <c r="H90" t="s">
        <v>65</v>
      </c>
      <c r="I90" t="s">
        <v>66</v>
      </c>
    </row>
    <row r="91" spans="1:9">
      <c r="A91" t="s">
        <v>788</v>
      </c>
      <c r="B91" t="s">
        <v>877</v>
      </c>
      <c r="D91" t="s">
        <v>201</v>
      </c>
      <c r="E91">
        <v>1</v>
      </c>
      <c r="F91" t="s">
        <v>49</v>
      </c>
      <c r="G91" t="s">
        <v>50</v>
      </c>
      <c r="H91" t="s">
        <v>51</v>
      </c>
      <c r="I91" t="s">
        <v>202</v>
      </c>
    </row>
    <row r="92" spans="1:9">
      <c r="A92" t="s">
        <v>788</v>
      </c>
      <c r="B92" t="s">
        <v>878</v>
      </c>
      <c r="C92" t="s">
        <v>89</v>
      </c>
      <c r="D92" t="s">
        <v>203</v>
      </c>
      <c r="E92">
        <v>1</v>
      </c>
      <c r="F92" t="s">
        <v>46</v>
      </c>
      <c r="G92" t="s">
        <v>46</v>
      </c>
      <c r="H92" t="s">
        <v>65</v>
      </c>
      <c r="I92" t="s">
        <v>66</v>
      </c>
    </row>
    <row r="93" spans="1:9">
      <c r="A93" t="s">
        <v>788</v>
      </c>
      <c r="B93" t="s">
        <v>879</v>
      </c>
      <c r="C93" t="s">
        <v>88</v>
      </c>
      <c r="D93" t="s">
        <v>204</v>
      </c>
      <c r="E93">
        <v>1</v>
      </c>
      <c r="F93" t="s">
        <v>46</v>
      </c>
      <c r="G93" t="s">
        <v>46</v>
      </c>
      <c r="H93" t="s">
        <v>65</v>
      </c>
      <c r="I93" t="s">
        <v>66</v>
      </c>
    </row>
    <row r="94" spans="1:9">
      <c r="A94" t="s">
        <v>788</v>
      </c>
      <c r="B94" t="s">
        <v>880</v>
      </c>
      <c r="C94" t="s">
        <v>85</v>
      </c>
      <c r="D94" t="s">
        <v>205</v>
      </c>
      <c r="E94">
        <v>1</v>
      </c>
      <c r="F94" t="s">
        <v>46</v>
      </c>
      <c r="G94" t="s">
        <v>46</v>
      </c>
      <c r="H94" t="s">
        <v>65</v>
      </c>
      <c r="I94" t="s">
        <v>66</v>
      </c>
    </row>
    <row r="95" spans="1:9">
      <c r="A95" t="s">
        <v>788</v>
      </c>
      <c r="B95" t="s">
        <v>881</v>
      </c>
      <c r="C95" t="s">
        <v>79</v>
      </c>
      <c r="D95" t="s">
        <v>207</v>
      </c>
      <c r="E95">
        <v>1</v>
      </c>
      <c r="F95" t="s">
        <v>46</v>
      </c>
      <c r="G95" t="s">
        <v>46</v>
      </c>
      <c r="H95" t="s">
        <v>65</v>
      </c>
      <c r="I95" t="s">
        <v>66</v>
      </c>
    </row>
    <row r="96" spans="1:9">
      <c r="A96" t="s">
        <v>788</v>
      </c>
      <c r="B96" t="s">
        <v>882</v>
      </c>
      <c r="C96" t="s">
        <v>85</v>
      </c>
      <c r="D96" t="s">
        <v>208</v>
      </c>
      <c r="E96">
        <v>1</v>
      </c>
      <c r="F96" t="s">
        <v>46</v>
      </c>
      <c r="G96" t="s">
        <v>46</v>
      </c>
      <c r="H96" t="s">
        <v>65</v>
      </c>
      <c r="I96" t="s">
        <v>55</v>
      </c>
    </row>
    <row r="97" spans="1:9">
      <c r="A97" t="s">
        <v>788</v>
      </c>
      <c r="B97" t="s">
        <v>883</v>
      </c>
      <c r="C97" t="s">
        <v>85</v>
      </c>
      <c r="D97" t="s">
        <v>209</v>
      </c>
      <c r="E97">
        <v>1</v>
      </c>
      <c r="F97" t="s">
        <v>46</v>
      </c>
      <c r="G97" t="s">
        <v>46</v>
      </c>
      <c r="H97" t="s">
        <v>65</v>
      </c>
      <c r="I97" t="s">
        <v>66</v>
      </c>
    </row>
    <row r="98" spans="1:9">
      <c r="A98" t="s">
        <v>788</v>
      </c>
      <c r="B98" t="s">
        <v>884</v>
      </c>
      <c r="D98" t="s">
        <v>210</v>
      </c>
      <c r="E98">
        <v>1</v>
      </c>
      <c r="F98" t="s">
        <v>46</v>
      </c>
      <c r="G98" t="s">
        <v>46</v>
      </c>
      <c r="H98" t="s">
        <v>211</v>
      </c>
      <c r="I98" t="s">
        <v>212</v>
      </c>
    </row>
    <row r="99" spans="1:9">
      <c r="A99" t="s">
        <v>788</v>
      </c>
      <c r="B99" t="s">
        <v>885</v>
      </c>
      <c r="C99" t="s">
        <v>85</v>
      </c>
      <c r="D99" t="s">
        <v>213</v>
      </c>
      <c r="E99">
        <v>1</v>
      </c>
      <c r="F99" t="s">
        <v>46</v>
      </c>
      <c r="G99" t="s">
        <v>46</v>
      </c>
      <c r="H99" t="s">
        <v>65</v>
      </c>
      <c r="I99" t="s">
        <v>66</v>
      </c>
    </row>
    <row r="100" spans="1:9">
      <c r="A100" t="s">
        <v>788</v>
      </c>
      <c r="B100" t="s">
        <v>886</v>
      </c>
      <c r="C100" t="s">
        <v>85</v>
      </c>
      <c r="D100" t="s">
        <v>214</v>
      </c>
      <c r="E100">
        <v>1</v>
      </c>
      <c r="F100" t="s">
        <v>46</v>
      </c>
      <c r="G100" t="s">
        <v>46</v>
      </c>
      <c r="H100" t="s">
        <v>65</v>
      </c>
      <c r="I100" t="s">
        <v>66</v>
      </c>
    </row>
    <row r="101" spans="1:9">
      <c r="A101" t="s">
        <v>788</v>
      </c>
      <c r="B101" t="s">
        <v>887</v>
      </c>
      <c r="C101" t="s">
        <v>63</v>
      </c>
      <c r="D101" t="s">
        <v>215</v>
      </c>
      <c r="E101">
        <v>1</v>
      </c>
      <c r="F101" t="s">
        <v>46</v>
      </c>
      <c r="G101" t="s">
        <v>46</v>
      </c>
      <c r="H101" t="s">
        <v>65</v>
      </c>
      <c r="I101" t="s">
        <v>66</v>
      </c>
    </row>
    <row r="102" spans="1:9">
      <c r="A102" t="s">
        <v>788</v>
      </c>
      <c r="B102" t="s">
        <v>888</v>
      </c>
      <c r="C102" t="s">
        <v>85</v>
      </c>
      <c r="D102" t="s">
        <v>216</v>
      </c>
      <c r="E102">
        <v>1</v>
      </c>
      <c r="F102" t="s">
        <v>46</v>
      </c>
      <c r="G102" t="s">
        <v>46</v>
      </c>
      <c r="H102" t="s">
        <v>65</v>
      </c>
      <c r="I102" t="s">
        <v>66</v>
      </c>
    </row>
    <row r="103" spans="1:9">
      <c r="A103" t="s">
        <v>788</v>
      </c>
      <c r="B103" t="s">
        <v>889</v>
      </c>
      <c r="C103" t="s">
        <v>85</v>
      </c>
      <c r="D103" t="s">
        <v>217</v>
      </c>
      <c r="E103">
        <v>1</v>
      </c>
      <c r="F103" t="s">
        <v>46</v>
      </c>
      <c r="G103" t="s">
        <v>46</v>
      </c>
      <c r="H103" t="s">
        <v>65</v>
      </c>
      <c r="I103" t="s">
        <v>66</v>
      </c>
    </row>
    <row r="104" spans="1:9">
      <c r="A104" t="s">
        <v>788</v>
      </c>
      <c r="B104" t="s">
        <v>890</v>
      </c>
      <c r="C104" t="s">
        <v>195</v>
      </c>
      <c r="D104" t="s">
        <v>218</v>
      </c>
      <c r="E104">
        <v>1</v>
      </c>
      <c r="F104" t="s">
        <v>46</v>
      </c>
      <c r="G104" t="s">
        <v>46</v>
      </c>
      <c r="H104" t="s">
        <v>65</v>
      </c>
      <c r="I104" t="s">
        <v>66</v>
      </c>
    </row>
    <row r="105" spans="1:9">
      <c r="A105" t="s">
        <v>788</v>
      </c>
      <c r="B105" t="s">
        <v>891</v>
      </c>
      <c r="D105" t="s">
        <v>219</v>
      </c>
      <c r="E105">
        <v>1</v>
      </c>
      <c r="F105" t="s">
        <v>46</v>
      </c>
      <c r="G105" t="s">
        <v>46</v>
      </c>
      <c r="H105" t="s">
        <v>211</v>
      </c>
      <c r="I105" t="s">
        <v>58</v>
      </c>
    </row>
    <row r="106" spans="1:9">
      <c r="A106" t="s">
        <v>788</v>
      </c>
      <c r="B106" t="s">
        <v>892</v>
      </c>
      <c r="C106" t="s">
        <v>63</v>
      </c>
      <c r="D106" t="s">
        <v>220</v>
      </c>
      <c r="E106">
        <v>1</v>
      </c>
      <c r="F106" t="s">
        <v>46</v>
      </c>
      <c r="G106" t="s">
        <v>46</v>
      </c>
      <c r="H106" t="s">
        <v>65</v>
      </c>
      <c r="I106" t="s">
        <v>66</v>
      </c>
    </row>
    <row r="107" spans="1:9">
      <c r="A107" t="s">
        <v>788</v>
      </c>
      <c r="B107" t="s">
        <v>893</v>
      </c>
      <c r="C107" t="s">
        <v>63</v>
      </c>
      <c r="D107" t="s">
        <v>221</v>
      </c>
      <c r="E107">
        <v>1</v>
      </c>
      <c r="F107" t="s">
        <v>46</v>
      </c>
      <c r="G107" t="s">
        <v>46</v>
      </c>
      <c r="H107" t="s">
        <v>65</v>
      </c>
      <c r="I107" t="s">
        <v>66</v>
      </c>
    </row>
    <row r="108" spans="1:9">
      <c r="A108" t="s">
        <v>788</v>
      </c>
      <c r="B108" t="s">
        <v>894</v>
      </c>
      <c r="D108" t="s">
        <v>121</v>
      </c>
      <c r="E108">
        <v>1</v>
      </c>
      <c r="F108" t="s">
        <v>49</v>
      </c>
      <c r="G108" t="s">
        <v>52</v>
      </c>
      <c r="H108" t="s">
        <v>52</v>
      </c>
      <c r="I108" t="s">
        <v>222</v>
      </c>
    </row>
    <row r="109" spans="1:9">
      <c r="A109" t="s">
        <v>788</v>
      </c>
      <c r="B109" t="s">
        <v>895</v>
      </c>
      <c r="D109" t="s">
        <v>224</v>
      </c>
      <c r="E109">
        <v>1</v>
      </c>
      <c r="F109" t="s">
        <v>154</v>
      </c>
      <c r="G109" t="s">
        <v>154</v>
      </c>
      <c r="H109" t="s">
        <v>155</v>
      </c>
      <c r="I109" t="s">
        <v>225</v>
      </c>
    </row>
    <row r="110" spans="1:9">
      <c r="A110" t="s">
        <v>788</v>
      </c>
      <c r="B110" t="s">
        <v>896</v>
      </c>
      <c r="D110" t="s">
        <v>226</v>
      </c>
      <c r="E110">
        <v>1</v>
      </c>
      <c r="F110" t="s">
        <v>154</v>
      </c>
      <c r="G110" t="s">
        <v>154</v>
      </c>
      <c r="H110" t="s">
        <v>155</v>
      </c>
      <c r="I110" t="s">
        <v>227</v>
      </c>
    </row>
    <row r="111" spans="1:9">
      <c r="A111" t="s">
        <v>788</v>
      </c>
      <c r="B111" t="s">
        <v>897</v>
      </c>
      <c r="D111" t="s">
        <v>228</v>
      </c>
      <c r="E111">
        <v>1</v>
      </c>
      <c r="F111" t="s">
        <v>46</v>
      </c>
      <c r="G111" t="s">
        <v>46</v>
      </c>
      <c r="H111" t="s">
        <v>58</v>
      </c>
      <c r="I111" t="s">
        <v>58</v>
      </c>
    </row>
    <row r="112" spans="1:9">
      <c r="A112" t="s">
        <v>788</v>
      </c>
      <c r="B112" t="s">
        <v>898</v>
      </c>
      <c r="D112" t="s">
        <v>230</v>
      </c>
      <c r="E112">
        <v>1</v>
      </c>
      <c r="F112" t="s">
        <v>46</v>
      </c>
      <c r="G112" t="s">
        <v>46</v>
      </c>
      <c r="H112" t="s">
        <v>58</v>
      </c>
      <c r="I112" t="s">
        <v>58</v>
      </c>
    </row>
    <row r="113" spans="1:9">
      <c r="A113" t="s">
        <v>788</v>
      </c>
      <c r="B113" t="s">
        <v>899</v>
      </c>
      <c r="D113" t="s">
        <v>231</v>
      </c>
      <c r="E113">
        <v>1</v>
      </c>
      <c r="F113" t="s">
        <v>154</v>
      </c>
      <c r="G113" t="s">
        <v>154</v>
      </c>
      <c r="H113" t="s">
        <v>155</v>
      </c>
      <c r="I113" t="s">
        <v>225</v>
      </c>
    </row>
    <row r="114" spans="1:9">
      <c r="A114" t="s">
        <v>788</v>
      </c>
      <c r="B114" t="s">
        <v>900</v>
      </c>
      <c r="D114" t="s">
        <v>232</v>
      </c>
      <c r="E114">
        <v>1</v>
      </c>
      <c r="F114" t="s">
        <v>154</v>
      </c>
      <c r="G114" t="s">
        <v>154</v>
      </c>
      <c r="H114" t="s">
        <v>155</v>
      </c>
      <c r="I114" t="s">
        <v>225</v>
      </c>
    </row>
    <row r="115" spans="1:9">
      <c r="A115" t="s">
        <v>788</v>
      </c>
      <c r="B115" t="s">
        <v>901</v>
      </c>
      <c r="D115" t="s">
        <v>233</v>
      </c>
      <c r="E115">
        <v>1</v>
      </c>
      <c r="F115" t="s">
        <v>154</v>
      </c>
      <c r="G115" t="s">
        <v>154</v>
      </c>
      <c r="H115" t="s">
        <v>155</v>
      </c>
      <c r="I115" t="s">
        <v>225</v>
      </c>
    </row>
    <row r="116" spans="1:9">
      <c r="A116" t="s">
        <v>788</v>
      </c>
      <c r="B116" t="s">
        <v>902</v>
      </c>
      <c r="D116" t="s">
        <v>234</v>
      </c>
      <c r="E116">
        <v>1</v>
      </c>
      <c r="F116" t="s">
        <v>154</v>
      </c>
      <c r="G116" t="s">
        <v>154</v>
      </c>
      <c r="H116" t="s">
        <v>155</v>
      </c>
      <c r="I116" t="s">
        <v>225</v>
      </c>
    </row>
    <row r="117" spans="1:9">
      <c r="A117" t="s">
        <v>788</v>
      </c>
      <c r="B117" t="s">
        <v>903</v>
      </c>
      <c r="D117" t="s">
        <v>98</v>
      </c>
      <c r="E117">
        <v>1</v>
      </c>
      <c r="F117" t="s">
        <v>154</v>
      </c>
      <c r="G117" t="s">
        <v>154</v>
      </c>
      <c r="H117" t="s">
        <v>155</v>
      </c>
      <c r="I117" t="s">
        <v>225</v>
      </c>
    </row>
    <row r="118" spans="1:9">
      <c r="A118" t="s">
        <v>788</v>
      </c>
      <c r="B118" t="s">
        <v>904</v>
      </c>
      <c r="D118" t="s">
        <v>235</v>
      </c>
      <c r="E118">
        <v>1</v>
      </c>
      <c r="F118" t="s">
        <v>154</v>
      </c>
      <c r="G118" t="s">
        <v>154</v>
      </c>
      <c r="H118" t="s">
        <v>155</v>
      </c>
      <c r="I118" t="s">
        <v>225</v>
      </c>
    </row>
    <row r="119" spans="1:9">
      <c r="A119" t="s">
        <v>788</v>
      </c>
      <c r="B119" t="s">
        <v>905</v>
      </c>
      <c r="D119" t="s">
        <v>236</v>
      </c>
      <c r="E119">
        <v>1</v>
      </c>
      <c r="F119" t="s">
        <v>154</v>
      </c>
      <c r="G119" t="s">
        <v>154</v>
      </c>
      <c r="H119" t="s">
        <v>155</v>
      </c>
      <c r="I119" t="s">
        <v>225</v>
      </c>
    </row>
    <row r="120" spans="1:9">
      <c r="A120" t="s">
        <v>788</v>
      </c>
      <c r="B120" t="s">
        <v>906</v>
      </c>
      <c r="D120" t="s">
        <v>237</v>
      </c>
      <c r="E120">
        <v>1</v>
      </c>
      <c r="F120" t="s">
        <v>154</v>
      </c>
      <c r="G120" t="s">
        <v>154</v>
      </c>
      <c r="H120" t="s">
        <v>155</v>
      </c>
      <c r="I120" t="s">
        <v>225</v>
      </c>
    </row>
    <row r="121" spans="1:9">
      <c r="A121" t="s">
        <v>788</v>
      </c>
      <c r="B121" t="s">
        <v>907</v>
      </c>
      <c r="D121" t="s">
        <v>238</v>
      </c>
      <c r="E121">
        <v>1</v>
      </c>
      <c r="F121" t="s">
        <v>154</v>
      </c>
      <c r="G121" t="s">
        <v>154</v>
      </c>
      <c r="H121" t="s">
        <v>155</v>
      </c>
      <c r="I121" t="s">
        <v>225</v>
      </c>
    </row>
    <row r="122" spans="1:9">
      <c r="A122" t="s">
        <v>788</v>
      </c>
      <c r="B122" t="s">
        <v>908</v>
      </c>
      <c r="C122" t="s">
        <v>142</v>
      </c>
      <c r="D122" t="s">
        <v>239</v>
      </c>
      <c r="E122">
        <v>1</v>
      </c>
      <c r="F122" t="s">
        <v>46</v>
      </c>
      <c r="G122" t="s">
        <v>46</v>
      </c>
      <c r="H122" t="s">
        <v>65</v>
      </c>
      <c r="I122" t="s">
        <v>66</v>
      </c>
    </row>
    <row r="123" spans="1:9">
      <c r="A123" t="s">
        <v>788</v>
      </c>
      <c r="B123" t="s">
        <v>909</v>
      </c>
      <c r="C123" t="s">
        <v>142</v>
      </c>
      <c r="D123" t="s">
        <v>240</v>
      </c>
      <c r="E123">
        <v>1</v>
      </c>
      <c r="F123" t="s">
        <v>46</v>
      </c>
      <c r="G123" t="s">
        <v>46</v>
      </c>
      <c r="H123" t="s">
        <v>65</v>
      </c>
      <c r="I123" t="s">
        <v>66</v>
      </c>
    </row>
    <row r="124" spans="1:9">
      <c r="A124" t="s">
        <v>788</v>
      </c>
      <c r="B124" t="s">
        <v>910</v>
      </c>
      <c r="C124" t="s">
        <v>142</v>
      </c>
      <c r="D124" t="s">
        <v>241</v>
      </c>
      <c r="E124">
        <v>1</v>
      </c>
      <c r="F124" t="s">
        <v>46</v>
      </c>
      <c r="G124" t="s">
        <v>46</v>
      </c>
      <c r="H124" t="s">
        <v>65</v>
      </c>
      <c r="I124" t="s">
        <v>66</v>
      </c>
    </row>
    <row r="125" spans="1:9">
      <c r="A125" t="s">
        <v>788</v>
      </c>
      <c r="B125" t="s">
        <v>911</v>
      </c>
      <c r="C125" t="s">
        <v>142</v>
      </c>
      <c r="D125" t="s">
        <v>243</v>
      </c>
      <c r="E125">
        <v>1</v>
      </c>
      <c r="F125" t="s">
        <v>46</v>
      </c>
      <c r="G125" t="s">
        <v>46</v>
      </c>
      <c r="H125" t="s">
        <v>65</v>
      </c>
      <c r="I125" t="s">
        <v>66</v>
      </c>
    </row>
    <row r="126" spans="1:9">
      <c r="A126" t="s">
        <v>788</v>
      </c>
      <c r="B126" t="s">
        <v>912</v>
      </c>
      <c r="C126" t="s">
        <v>142</v>
      </c>
      <c r="D126" t="s">
        <v>244</v>
      </c>
      <c r="E126">
        <v>1</v>
      </c>
      <c r="F126" t="s">
        <v>46</v>
      </c>
      <c r="G126" t="s">
        <v>46</v>
      </c>
      <c r="H126" t="s">
        <v>65</v>
      </c>
      <c r="I126" t="s">
        <v>66</v>
      </c>
    </row>
    <row r="127" spans="1:9">
      <c r="A127" t="s">
        <v>788</v>
      </c>
      <c r="B127" t="s">
        <v>913</v>
      </c>
      <c r="C127" t="s">
        <v>142</v>
      </c>
      <c r="D127" t="s">
        <v>245</v>
      </c>
      <c r="E127">
        <v>1</v>
      </c>
      <c r="F127" t="s">
        <v>46</v>
      </c>
      <c r="G127" t="s">
        <v>46</v>
      </c>
      <c r="H127" t="s">
        <v>65</v>
      </c>
      <c r="I127" t="s">
        <v>66</v>
      </c>
    </row>
    <row r="128" spans="1:9">
      <c r="A128" t="s">
        <v>788</v>
      </c>
      <c r="B128" t="s">
        <v>914</v>
      </c>
      <c r="C128" t="s">
        <v>160</v>
      </c>
      <c r="D128" t="s">
        <v>246</v>
      </c>
      <c r="E128">
        <v>1</v>
      </c>
      <c r="F128" t="s">
        <v>46</v>
      </c>
      <c r="G128" t="s">
        <v>46</v>
      </c>
      <c r="H128" t="s">
        <v>65</v>
      </c>
      <c r="I128" t="s">
        <v>66</v>
      </c>
    </row>
    <row r="129" spans="1:9">
      <c r="A129" t="s">
        <v>788</v>
      </c>
      <c r="B129" t="s">
        <v>915</v>
      </c>
      <c r="D129" t="s">
        <v>247</v>
      </c>
      <c r="E129">
        <v>1</v>
      </c>
      <c r="F129" t="s">
        <v>154</v>
      </c>
      <c r="G129" t="s">
        <v>154</v>
      </c>
      <c r="H129" t="s">
        <v>155</v>
      </c>
      <c r="I129" t="s">
        <v>225</v>
      </c>
    </row>
    <row r="130" spans="1:9">
      <c r="A130" t="s">
        <v>788</v>
      </c>
      <c r="B130" t="s">
        <v>916</v>
      </c>
      <c r="D130" t="s">
        <v>248</v>
      </c>
      <c r="E130">
        <v>1</v>
      </c>
      <c r="F130" t="s">
        <v>154</v>
      </c>
      <c r="G130" t="s">
        <v>154</v>
      </c>
      <c r="H130" t="s">
        <v>155</v>
      </c>
      <c r="I130" t="s">
        <v>225</v>
      </c>
    </row>
    <row r="131" spans="1:9">
      <c r="A131" t="s">
        <v>788</v>
      </c>
      <c r="B131" t="s">
        <v>917</v>
      </c>
      <c r="D131" t="s">
        <v>249</v>
      </c>
      <c r="E131">
        <v>1</v>
      </c>
      <c r="F131" t="s">
        <v>154</v>
      </c>
      <c r="G131" t="s">
        <v>154</v>
      </c>
      <c r="H131" t="s">
        <v>155</v>
      </c>
      <c r="I131" t="s">
        <v>225</v>
      </c>
    </row>
    <row r="132" spans="1:9">
      <c r="A132" t="s">
        <v>788</v>
      </c>
      <c r="B132" t="s">
        <v>918</v>
      </c>
      <c r="C132" t="s">
        <v>142</v>
      </c>
      <c r="D132" t="s">
        <v>250</v>
      </c>
      <c r="E132">
        <v>1</v>
      </c>
      <c r="F132" t="s">
        <v>46</v>
      </c>
      <c r="G132" t="s">
        <v>46</v>
      </c>
      <c r="H132" t="s">
        <v>65</v>
      </c>
      <c r="I132" t="s">
        <v>66</v>
      </c>
    </row>
    <row r="133" spans="1:9">
      <c r="A133" t="s">
        <v>788</v>
      </c>
      <c r="B133" t="s">
        <v>919</v>
      </c>
      <c r="C133" t="s">
        <v>142</v>
      </c>
      <c r="D133" t="s">
        <v>251</v>
      </c>
      <c r="E133">
        <v>1</v>
      </c>
      <c r="F133" t="s">
        <v>46</v>
      </c>
      <c r="G133" t="s">
        <v>46</v>
      </c>
      <c r="H133" t="s">
        <v>65</v>
      </c>
      <c r="I133" t="s">
        <v>66</v>
      </c>
    </row>
    <row r="134" spans="1:9">
      <c r="A134" t="s">
        <v>788</v>
      </c>
      <c r="B134" t="s">
        <v>920</v>
      </c>
      <c r="C134" t="s">
        <v>89</v>
      </c>
      <c r="D134" t="s">
        <v>252</v>
      </c>
      <c r="E134">
        <v>1</v>
      </c>
      <c r="F134" t="s">
        <v>46</v>
      </c>
      <c r="G134" t="s">
        <v>46</v>
      </c>
      <c r="H134" t="s">
        <v>65</v>
      </c>
      <c r="I134" t="s">
        <v>55</v>
      </c>
    </row>
    <row r="135" spans="1:9">
      <c r="A135" t="s">
        <v>788</v>
      </c>
      <c r="B135" t="s">
        <v>921</v>
      </c>
      <c r="C135" t="s">
        <v>142</v>
      </c>
      <c r="D135" t="s">
        <v>253</v>
      </c>
      <c r="E135">
        <v>1</v>
      </c>
      <c r="F135" t="s">
        <v>46</v>
      </c>
      <c r="G135" t="s">
        <v>46</v>
      </c>
      <c r="H135" t="s">
        <v>65</v>
      </c>
      <c r="I135" t="s">
        <v>66</v>
      </c>
    </row>
    <row r="136" spans="1:9">
      <c r="A136" t="s">
        <v>788</v>
      </c>
      <c r="B136" t="s">
        <v>922</v>
      </c>
      <c r="D136" t="s">
        <v>254</v>
      </c>
      <c r="E136">
        <v>1</v>
      </c>
      <c r="F136" t="s">
        <v>46</v>
      </c>
      <c r="G136" t="s">
        <v>46</v>
      </c>
      <c r="H136" t="s">
        <v>58</v>
      </c>
      <c r="I136" t="s">
        <v>58</v>
      </c>
    </row>
    <row r="137" spans="1:9">
      <c r="A137" t="s">
        <v>788</v>
      </c>
      <c r="B137" t="s">
        <v>923</v>
      </c>
      <c r="D137" t="s">
        <v>255</v>
      </c>
      <c r="E137">
        <v>1</v>
      </c>
      <c r="F137" t="s">
        <v>46</v>
      </c>
      <c r="G137" t="s">
        <v>46</v>
      </c>
      <c r="H137" t="s">
        <v>211</v>
      </c>
      <c r="I137" t="s">
        <v>256</v>
      </c>
    </row>
    <row r="138" spans="1:9">
      <c r="A138" t="s">
        <v>788</v>
      </c>
      <c r="B138" t="s">
        <v>924</v>
      </c>
      <c r="C138" t="s">
        <v>88</v>
      </c>
      <c r="D138" t="s">
        <v>257</v>
      </c>
      <c r="E138">
        <v>1</v>
      </c>
      <c r="F138" t="s">
        <v>46</v>
      </c>
      <c r="G138" t="s">
        <v>46</v>
      </c>
      <c r="H138" t="s">
        <v>65</v>
      </c>
      <c r="I138" t="s">
        <v>66</v>
      </c>
    </row>
    <row r="139" spans="1:9">
      <c r="A139" t="s">
        <v>788</v>
      </c>
      <c r="B139" t="s">
        <v>925</v>
      </c>
      <c r="C139" t="s">
        <v>160</v>
      </c>
      <c r="D139" t="s">
        <v>258</v>
      </c>
      <c r="E139">
        <v>1</v>
      </c>
      <c r="F139" t="s">
        <v>46</v>
      </c>
      <c r="G139" t="s">
        <v>46</v>
      </c>
      <c r="H139" t="s">
        <v>65</v>
      </c>
      <c r="I139" t="s">
        <v>72</v>
      </c>
    </row>
    <row r="140" spans="1:9">
      <c r="A140" t="s">
        <v>788</v>
      </c>
      <c r="B140" t="s">
        <v>926</v>
      </c>
      <c r="D140" t="s">
        <v>259</v>
      </c>
      <c r="E140">
        <v>1</v>
      </c>
      <c r="F140" t="s">
        <v>42</v>
      </c>
      <c r="G140" t="s">
        <v>42</v>
      </c>
      <c r="H140" t="s">
        <v>42</v>
      </c>
      <c r="I140" t="s">
        <v>260</v>
      </c>
    </row>
    <row r="141" spans="1:9">
      <c r="A141" t="s">
        <v>788</v>
      </c>
      <c r="B141" t="s">
        <v>927</v>
      </c>
      <c r="D141" t="s">
        <v>261</v>
      </c>
      <c r="E141">
        <v>1</v>
      </c>
      <c r="F141" t="s">
        <v>42</v>
      </c>
      <c r="G141" t="s">
        <v>42</v>
      </c>
      <c r="H141" t="s">
        <v>42</v>
      </c>
      <c r="I141" t="s">
        <v>260</v>
      </c>
    </row>
    <row r="142" spans="1:9">
      <c r="A142" t="s">
        <v>788</v>
      </c>
      <c r="B142" t="s">
        <v>928</v>
      </c>
      <c r="D142" t="s">
        <v>262</v>
      </c>
      <c r="E142">
        <v>1</v>
      </c>
      <c r="F142" t="s">
        <v>46</v>
      </c>
      <c r="G142" t="s">
        <v>114</v>
      </c>
      <c r="H142" t="s">
        <v>114</v>
      </c>
      <c r="I142" t="s">
        <v>119</v>
      </c>
    </row>
    <row r="143" spans="1:9">
      <c r="A143" t="s">
        <v>788</v>
      </c>
      <c r="B143" t="s">
        <v>929</v>
      </c>
      <c r="D143" t="s">
        <v>263</v>
      </c>
      <c r="E143">
        <v>1</v>
      </c>
      <c r="F143" t="s">
        <v>46</v>
      </c>
      <c r="G143" t="s">
        <v>114</v>
      </c>
      <c r="H143" t="s">
        <v>114</v>
      </c>
      <c r="I143" t="s">
        <v>119</v>
      </c>
    </row>
    <row r="144" spans="1:9">
      <c r="A144" t="s">
        <v>788</v>
      </c>
      <c r="B144" t="s">
        <v>930</v>
      </c>
      <c r="D144" t="s">
        <v>264</v>
      </c>
      <c r="E144">
        <v>1</v>
      </c>
      <c r="F144" t="s">
        <v>46</v>
      </c>
      <c r="G144" t="s">
        <v>114</v>
      </c>
      <c r="H144" t="s">
        <v>114</v>
      </c>
      <c r="I144" t="s">
        <v>173</v>
      </c>
    </row>
    <row r="145" spans="1:9">
      <c r="A145" t="s">
        <v>788</v>
      </c>
      <c r="B145" t="s">
        <v>931</v>
      </c>
      <c r="C145" t="s">
        <v>265</v>
      </c>
      <c r="D145" t="s">
        <v>165</v>
      </c>
      <c r="E145">
        <v>1</v>
      </c>
      <c r="F145" t="s">
        <v>46</v>
      </c>
      <c r="G145" t="s">
        <v>46</v>
      </c>
      <c r="H145" t="s">
        <v>266</v>
      </c>
      <c r="I145" t="s">
        <v>173</v>
      </c>
    </row>
    <row r="146" spans="1:9">
      <c r="A146" t="s">
        <v>788</v>
      </c>
      <c r="B146" t="s">
        <v>932</v>
      </c>
      <c r="D146" t="s">
        <v>267</v>
      </c>
      <c r="E146">
        <v>1</v>
      </c>
      <c r="F146" t="s">
        <v>46</v>
      </c>
      <c r="G146" t="s">
        <v>114</v>
      </c>
      <c r="H146" t="s">
        <v>114</v>
      </c>
      <c r="I146" t="s">
        <v>173</v>
      </c>
    </row>
    <row r="147" spans="1:9">
      <c r="A147" t="s">
        <v>788</v>
      </c>
      <c r="B147" t="s">
        <v>933</v>
      </c>
      <c r="D147" t="s">
        <v>268</v>
      </c>
      <c r="E147">
        <v>1</v>
      </c>
      <c r="F147" t="s">
        <v>46</v>
      </c>
      <c r="G147" t="s">
        <v>114</v>
      </c>
      <c r="H147" t="s">
        <v>114</v>
      </c>
      <c r="I147" t="s">
        <v>173</v>
      </c>
    </row>
    <row r="148" spans="1:9">
      <c r="A148" t="s">
        <v>788</v>
      </c>
      <c r="B148" t="s">
        <v>934</v>
      </c>
      <c r="D148" t="s">
        <v>269</v>
      </c>
      <c r="E148">
        <v>1</v>
      </c>
      <c r="F148" t="s">
        <v>46</v>
      </c>
      <c r="G148" t="s">
        <v>114</v>
      </c>
      <c r="H148" t="s">
        <v>114</v>
      </c>
      <c r="I148" t="s">
        <v>173</v>
      </c>
    </row>
    <row r="149" spans="1:9">
      <c r="A149" t="s">
        <v>788</v>
      </c>
      <c r="B149" t="s">
        <v>935</v>
      </c>
      <c r="C149" t="s">
        <v>265</v>
      </c>
      <c r="D149" t="s">
        <v>270</v>
      </c>
      <c r="E149">
        <v>1</v>
      </c>
      <c r="F149" t="s">
        <v>46</v>
      </c>
      <c r="G149" t="s">
        <v>46</v>
      </c>
      <c r="H149" t="s">
        <v>266</v>
      </c>
      <c r="I149" t="s">
        <v>173</v>
      </c>
    </row>
    <row r="150" spans="1:9">
      <c r="A150" t="s">
        <v>788</v>
      </c>
      <c r="B150" t="s">
        <v>936</v>
      </c>
      <c r="D150" t="s">
        <v>271</v>
      </c>
      <c r="E150">
        <v>1</v>
      </c>
      <c r="F150" t="s">
        <v>46</v>
      </c>
      <c r="G150" t="s">
        <v>114</v>
      </c>
      <c r="H150" t="s">
        <v>114</v>
      </c>
      <c r="I150" t="s">
        <v>173</v>
      </c>
    </row>
    <row r="151" spans="1:9">
      <c r="A151" t="s">
        <v>788</v>
      </c>
      <c r="B151" t="s">
        <v>937</v>
      </c>
      <c r="D151" t="s">
        <v>272</v>
      </c>
      <c r="E151">
        <v>1</v>
      </c>
      <c r="F151" t="s">
        <v>46</v>
      </c>
      <c r="G151" t="s">
        <v>114</v>
      </c>
      <c r="H151" t="s">
        <v>114</v>
      </c>
      <c r="I151" t="s">
        <v>173</v>
      </c>
    </row>
    <row r="152" spans="1:9">
      <c r="A152" t="s">
        <v>788</v>
      </c>
      <c r="B152" t="s">
        <v>938</v>
      </c>
      <c r="C152" t="s">
        <v>142</v>
      </c>
      <c r="D152" t="s">
        <v>273</v>
      </c>
      <c r="E152">
        <v>1</v>
      </c>
      <c r="F152" t="s">
        <v>46</v>
      </c>
      <c r="G152" t="s">
        <v>46</v>
      </c>
      <c r="H152" t="s">
        <v>65</v>
      </c>
      <c r="I152" t="s">
        <v>66</v>
      </c>
    </row>
    <row r="153" spans="1:9">
      <c r="A153" t="s">
        <v>788</v>
      </c>
      <c r="B153" t="s">
        <v>939</v>
      </c>
      <c r="D153" t="s">
        <v>274</v>
      </c>
      <c r="E153">
        <v>1</v>
      </c>
      <c r="F153" t="s">
        <v>46</v>
      </c>
      <c r="G153" t="s">
        <v>116</v>
      </c>
      <c r="H153" t="s">
        <v>117</v>
      </c>
      <c r="I153" t="s">
        <v>118</v>
      </c>
    </row>
    <row r="154" spans="1:9">
      <c r="A154" t="s">
        <v>788</v>
      </c>
      <c r="B154" t="s">
        <v>940</v>
      </c>
      <c r="D154" t="s">
        <v>275</v>
      </c>
      <c r="E154">
        <v>1</v>
      </c>
      <c r="F154" t="s">
        <v>276</v>
      </c>
      <c r="G154" t="s">
        <v>276</v>
      </c>
      <c r="H154" t="s">
        <v>276</v>
      </c>
      <c r="I154" t="s">
        <v>277</v>
      </c>
    </row>
    <row r="155" spans="1:9">
      <c r="A155" t="s">
        <v>788</v>
      </c>
      <c r="B155" t="s">
        <v>941</v>
      </c>
      <c r="D155" t="s">
        <v>278</v>
      </c>
      <c r="E155">
        <v>1</v>
      </c>
      <c r="F155" t="s">
        <v>46</v>
      </c>
      <c r="G155" t="s">
        <v>114</v>
      </c>
      <c r="H155" t="s">
        <v>114</v>
      </c>
      <c r="I155" t="s">
        <v>173</v>
      </c>
    </row>
    <row r="156" spans="1:9">
      <c r="A156" t="s">
        <v>788</v>
      </c>
      <c r="B156" t="s">
        <v>942</v>
      </c>
      <c r="D156" t="s">
        <v>279</v>
      </c>
      <c r="E156">
        <v>1</v>
      </c>
      <c r="F156" t="s">
        <v>49</v>
      </c>
      <c r="G156" t="s">
        <v>280</v>
      </c>
      <c r="H156" t="s">
        <v>280</v>
      </c>
      <c r="I156" t="s">
        <v>281</v>
      </c>
    </row>
    <row r="157" spans="1:9">
      <c r="A157" t="s">
        <v>788</v>
      </c>
      <c r="B157" t="s">
        <v>943</v>
      </c>
      <c r="C157" t="s">
        <v>63</v>
      </c>
      <c r="D157" t="s">
        <v>282</v>
      </c>
      <c r="E157">
        <v>1</v>
      </c>
      <c r="F157" t="s">
        <v>46</v>
      </c>
      <c r="G157" t="s">
        <v>46</v>
      </c>
      <c r="H157" t="s">
        <v>65</v>
      </c>
      <c r="I157" t="s">
        <v>66</v>
      </c>
    </row>
    <row r="158" spans="1:9">
      <c r="A158" t="s">
        <v>788</v>
      </c>
      <c r="B158" t="s">
        <v>944</v>
      </c>
      <c r="C158" t="s">
        <v>67</v>
      </c>
      <c r="D158" t="s">
        <v>283</v>
      </c>
      <c r="E158">
        <v>1</v>
      </c>
      <c r="F158" t="s">
        <v>46</v>
      </c>
      <c r="G158" t="s">
        <v>46</v>
      </c>
      <c r="H158" t="s">
        <v>65</v>
      </c>
      <c r="I158" t="s">
        <v>66</v>
      </c>
    </row>
    <row r="159" spans="1:9">
      <c r="A159" t="s">
        <v>788</v>
      </c>
      <c r="B159" t="s">
        <v>945</v>
      </c>
      <c r="C159" t="s">
        <v>89</v>
      </c>
      <c r="D159" t="s">
        <v>285</v>
      </c>
      <c r="E159">
        <v>1</v>
      </c>
      <c r="F159" t="s">
        <v>46</v>
      </c>
      <c r="G159" t="s">
        <v>46</v>
      </c>
      <c r="H159" t="s">
        <v>65</v>
      </c>
      <c r="I159" t="s">
        <v>66</v>
      </c>
    </row>
    <row r="160" spans="1:9">
      <c r="A160" t="s">
        <v>788</v>
      </c>
      <c r="B160" t="s">
        <v>946</v>
      </c>
      <c r="C160" t="s">
        <v>89</v>
      </c>
      <c r="D160" t="s">
        <v>240</v>
      </c>
      <c r="E160">
        <v>1</v>
      </c>
      <c r="F160" t="s">
        <v>46</v>
      </c>
      <c r="G160" t="s">
        <v>46</v>
      </c>
      <c r="H160" t="s">
        <v>65</v>
      </c>
      <c r="I160" t="s">
        <v>66</v>
      </c>
    </row>
    <row r="161" spans="1:9">
      <c r="A161" t="s">
        <v>788</v>
      </c>
      <c r="B161" t="s">
        <v>947</v>
      </c>
      <c r="C161" t="s">
        <v>88</v>
      </c>
      <c r="D161" t="s">
        <v>286</v>
      </c>
      <c r="E161">
        <v>1</v>
      </c>
      <c r="F161" t="s">
        <v>46</v>
      </c>
      <c r="G161" t="s">
        <v>46</v>
      </c>
      <c r="H161" t="s">
        <v>65</v>
      </c>
      <c r="I161" t="s">
        <v>66</v>
      </c>
    </row>
    <row r="162" spans="1:9">
      <c r="A162" t="s">
        <v>788</v>
      </c>
      <c r="B162" t="s">
        <v>948</v>
      </c>
      <c r="C162" t="s">
        <v>89</v>
      </c>
      <c r="D162" t="s">
        <v>287</v>
      </c>
      <c r="E162">
        <v>1</v>
      </c>
      <c r="F162" t="s">
        <v>46</v>
      </c>
      <c r="G162" t="s">
        <v>46</v>
      </c>
      <c r="H162" t="s">
        <v>65</v>
      </c>
      <c r="I162" t="s">
        <v>66</v>
      </c>
    </row>
    <row r="163" spans="1:9">
      <c r="A163" t="s">
        <v>788</v>
      </c>
      <c r="B163" t="s">
        <v>949</v>
      </c>
      <c r="C163" t="s">
        <v>89</v>
      </c>
      <c r="D163" t="s">
        <v>288</v>
      </c>
      <c r="E163">
        <v>1</v>
      </c>
      <c r="F163" t="s">
        <v>46</v>
      </c>
      <c r="G163" t="s">
        <v>46</v>
      </c>
      <c r="H163" t="s">
        <v>65</v>
      </c>
      <c r="I163" t="s">
        <v>66</v>
      </c>
    </row>
    <row r="164" spans="1:9">
      <c r="A164" t="s">
        <v>788</v>
      </c>
      <c r="B164" t="s">
        <v>950</v>
      </c>
      <c r="C164" t="s">
        <v>89</v>
      </c>
      <c r="D164" t="s">
        <v>289</v>
      </c>
      <c r="E164">
        <v>1</v>
      </c>
      <c r="F164" t="s">
        <v>46</v>
      </c>
      <c r="G164" t="s">
        <v>46</v>
      </c>
      <c r="H164" t="s">
        <v>65</v>
      </c>
      <c r="I164" t="s">
        <v>66</v>
      </c>
    </row>
    <row r="165" spans="1:9">
      <c r="A165" t="s">
        <v>788</v>
      </c>
      <c r="B165" t="s">
        <v>951</v>
      </c>
      <c r="C165" t="s">
        <v>89</v>
      </c>
      <c r="D165" t="s">
        <v>290</v>
      </c>
      <c r="E165">
        <v>1</v>
      </c>
      <c r="F165" t="s">
        <v>46</v>
      </c>
      <c r="G165" t="s">
        <v>46</v>
      </c>
      <c r="H165" t="s">
        <v>65</v>
      </c>
      <c r="I165" t="s">
        <v>66</v>
      </c>
    </row>
    <row r="166" spans="1:9">
      <c r="A166" t="s">
        <v>788</v>
      </c>
      <c r="B166" t="s">
        <v>952</v>
      </c>
      <c r="C166" t="s">
        <v>89</v>
      </c>
      <c r="D166" t="s">
        <v>291</v>
      </c>
      <c r="E166">
        <v>1</v>
      </c>
      <c r="F166" t="s">
        <v>46</v>
      </c>
      <c r="G166" t="s">
        <v>46</v>
      </c>
      <c r="H166" t="s">
        <v>65</v>
      </c>
      <c r="I166" t="s">
        <v>66</v>
      </c>
    </row>
    <row r="167" spans="1:9">
      <c r="A167" t="s">
        <v>788</v>
      </c>
      <c r="B167" t="s">
        <v>953</v>
      </c>
      <c r="D167" t="s">
        <v>293</v>
      </c>
      <c r="E167">
        <v>1</v>
      </c>
      <c r="F167" t="s">
        <v>46</v>
      </c>
      <c r="G167" t="s">
        <v>114</v>
      </c>
      <c r="H167" t="s">
        <v>114</v>
      </c>
      <c r="I167" t="s">
        <v>173</v>
      </c>
    </row>
    <row r="168" spans="1:9">
      <c r="A168" t="s">
        <v>788</v>
      </c>
      <c r="B168" t="s">
        <v>954</v>
      </c>
      <c r="D168" t="s">
        <v>294</v>
      </c>
      <c r="E168">
        <v>1</v>
      </c>
      <c r="F168" t="s">
        <v>46</v>
      </c>
      <c r="G168" t="s">
        <v>114</v>
      </c>
      <c r="H168" t="s">
        <v>114</v>
      </c>
      <c r="I168" t="s">
        <v>173</v>
      </c>
    </row>
    <row r="169" spans="1:9">
      <c r="A169" t="s">
        <v>788</v>
      </c>
      <c r="B169" t="s">
        <v>955</v>
      </c>
      <c r="C169" t="s">
        <v>44</v>
      </c>
      <c r="D169" t="s">
        <v>295</v>
      </c>
      <c r="E169">
        <v>1</v>
      </c>
      <c r="F169" t="s">
        <v>46</v>
      </c>
      <c r="G169" t="s">
        <v>46</v>
      </c>
      <c r="H169" t="s">
        <v>44</v>
      </c>
      <c r="I169" t="s">
        <v>296</v>
      </c>
    </row>
    <row r="170" spans="1:9">
      <c r="A170" t="s">
        <v>788</v>
      </c>
      <c r="B170" t="s">
        <v>956</v>
      </c>
      <c r="C170" t="s">
        <v>89</v>
      </c>
      <c r="D170" t="s">
        <v>297</v>
      </c>
      <c r="E170">
        <v>1</v>
      </c>
      <c r="F170" t="s">
        <v>46</v>
      </c>
      <c r="G170" t="s">
        <v>46</v>
      </c>
      <c r="H170" t="s">
        <v>65</v>
      </c>
      <c r="I170" t="s">
        <v>66</v>
      </c>
    </row>
    <row r="171" spans="1:9">
      <c r="A171" t="s">
        <v>788</v>
      </c>
      <c r="B171" t="s">
        <v>957</v>
      </c>
      <c r="C171" t="s">
        <v>89</v>
      </c>
      <c r="D171" t="s">
        <v>298</v>
      </c>
      <c r="E171">
        <v>1</v>
      </c>
      <c r="F171" t="s">
        <v>46</v>
      </c>
      <c r="G171" t="s">
        <v>46</v>
      </c>
      <c r="H171" t="s">
        <v>65</v>
      </c>
      <c r="I171" t="s">
        <v>66</v>
      </c>
    </row>
    <row r="172" spans="1:9">
      <c r="A172" t="s">
        <v>788</v>
      </c>
      <c r="B172" t="s">
        <v>958</v>
      </c>
      <c r="C172" t="s">
        <v>89</v>
      </c>
      <c r="D172" t="s">
        <v>299</v>
      </c>
      <c r="E172">
        <v>1</v>
      </c>
      <c r="F172" t="s">
        <v>46</v>
      </c>
      <c r="G172" t="s">
        <v>46</v>
      </c>
      <c r="H172" t="s">
        <v>65</v>
      </c>
      <c r="I172" t="s">
        <v>66</v>
      </c>
    </row>
    <row r="173" spans="1:9">
      <c r="A173" t="s">
        <v>788</v>
      </c>
      <c r="B173" t="s">
        <v>959</v>
      </c>
      <c r="D173" t="s">
        <v>300</v>
      </c>
      <c r="E173">
        <v>1</v>
      </c>
      <c r="F173" t="s">
        <v>154</v>
      </c>
      <c r="G173" t="s">
        <v>154</v>
      </c>
      <c r="H173" t="s">
        <v>155</v>
      </c>
      <c r="I173" t="s">
        <v>225</v>
      </c>
    </row>
    <row r="174" spans="1:9">
      <c r="A174" t="s">
        <v>788</v>
      </c>
      <c r="B174" t="s">
        <v>960</v>
      </c>
      <c r="D174" t="s">
        <v>303</v>
      </c>
      <c r="E174">
        <v>1</v>
      </c>
      <c r="F174" t="s">
        <v>49</v>
      </c>
      <c r="G174" t="s">
        <v>280</v>
      </c>
      <c r="H174" t="s">
        <v>280</v>
      </c>
      <c r="I174" t="s">
        <v>304</v>
      </c>
    </row>
    <row r="175" spans="1:9">
      <c r="A175" t="s">
        <v>788</v>
      </c>
      <c r="B175" t="s">
        <v>961</v>
      </c>
      <c r="D175" t="s">
        <v>305</v>
      </c>
      <c r="E175">
        <v>1</v>
      </c>
      <c r="F175" t="s">
        <v>49</v>
      </c>
      <c r="G175" t="s">
        <v>280</v>
      </c>
      <c r="H175" t="s">
        <v>280</v>
      </c>
      <c r="I175" t="s">
        <v>306</v>
      </c>
    </row>
    <row r="176" spans="1:9">
      <c r="A176" t="s">
        <v>788</v>
      </c>
      <c r="B176" t="s">
        <v>962</v>
      </c>
      <c r="D176" t="s">
        <v>307</v>
      </c>
      <c r="E176">
        <v>1</v>
      </c>
      <c r="F176" t="s">
        <v>49</v>
      </c>
      <c r="G176" t="s">
        <v>280</v>
      </c>
      <c r="H176" t="s">
        <v>280</v>
      </c>
      <c r="I176" t="s">
        <v>306</v>
      </c>
    </row>
    <row r="177" spans="1:9">
      <c r="A177" t="s">
        <v>788</v>
      </c>
      <c r="B177" t="s">
        <v>963</v>
      </c>
      <c r="C177" t="s">
        <v>89</v>
      </c>
      <c r="D177" t="s">
        <v>310</v>
      </c>
      <c r="E177">
        <v>1</v>
      </c>
      <c r="F177" t="s">
        <v>46</v>
      </c>
      <c r="G177" t="s">
        <v>46</v>
      </c>
      <c r="H177" t="s">
        <v>65</v>
      </c>
      <c r="I177" t="s">
        <v>66</v>
      </c>
    </row>
    <row r="178" spans="1:9">
      <c r="A178" t="s">
        <v>788</v>
      </c>
      <c r="B178" t="s">
        <v>964</v>
      </c>
      <c r="D178" t="s">
        <v>311</v>
      </c>
      <c r="E178">
        <v>1</v>
      </c>
      <c r="F178" t="s">
        <v>42</v>
      </c>
      <c r="G178" t="s">
        <v>42</v>
      </c>
      <c r="H178" t="s">
        <v>42</v>
      </c>
      <c r="I178" t="s">
        <v>260</v>
      </c>
    </row>
    <row r="179" spans="1:9">
      <c r="A179" t="s">
        <v>788</v>
      </c>
      <c r="B179" t="s">
        <v>965</v>
      </c>
      <c r="D179" t="s">
        <v>312</v>
      </c>
      <c r="E179">
        <v>1</v>
      </c>
      <c r="F179" t="s">
        <v>49</v>
      </c>
      <c r="G179" t="s">
        <v>280</v>
      </c>
      <c r="H179" t="s">
        <v>280</v>
      </c>
      <c r="I179" t="s">
        <v>306</v>
      </c>
    </row>
    <row r="180" spans="1:9">
      <c r="A180" t="s">
        <v>788</v>
      </c>
      <c r="B180" t="s">
        <v>966</v>
      </c>
      <c r="D180" t="s">
        <v>313</v>
      </c>
      <c r="E180">
        <v>1</v>
      </c>
      <c r="F180" t="s">
        <v>154</v>
      </c>
      <c r="G180" t="s">
        <v>154</v>
      </c>
      <c r="H180" t="s">
        <v>155</v>
      </c>
      <c r="I180" t="s">
        <v>225</v>
      </c>
    </row>
    <row r="181" spans="1:9">
      <c r="A181" t="s">
        <v>788</v>
      </c>
      <c r="B181" t="s">
        <v>967</v>
      </c>
      <c r="D181" t="s">
        <v>314</v>
      </c>
      <c r="E181">
        <v>1</v>
      </c>
      <c r="F181" t="s">
        <v>46</v>
      </c>
      <c r="G181" t="s">
        <v>116</v>
      </c>
      <c r="H181" t="s">
        <v>117</v>
      </c>
      <c r="I181" t="s">
        <v>118</v>
      </c>
    </row>
    <row r="182" spans="1:9">
      <c r="A182" t="s">
        <v>788</v>
      </c>
      <c r="B182" t="s">
        <v>968</v>
      </c>
      <c r="C182" t="s">
        <v>44</v>
      </c>
      <c r="D182" t="s">
        <v>291</v>
      </c>
      <c r="E182">
        <v>1</v>
      </c>
      <c r="F182" t="s">
        <v>46</v>
      </c>
      <c r="G182" t="s">
        <v>46</v>
      </c>
      <c r="H182" t="s">
        <v>44</v>
      </c>
      <c r="I182" t="s">
        <v>43</v>
      </c>
    </row>
    <row r="183" spans="1:9">
      <c r="A183" t="s">
        <v>788</v>
      </c>
      <c r="B183" t="s">
        <v>969</v>
      </c>
      <c r="C183" t="s">
        <v>142</v>
      </c>
      <c r="D183" t="s">
        <v>315</v>
      </c>
      <c r="E183">
        <v>1</v>
      </c>
      <c r="F183" t="s">
        <v>46</v>
      </c>
      <c r="G183" t="s">
        <v>46</v>
      </c>
      <c r="H183" t="s">
        <v>65</v>
      </c>
      <c r="I183" t="s">
        <v>55</v>
      </c>
    </row>
    <row r="184" spans="1:9">
      <c r="A184" t="s">
        <v>788</v>
      </c>
      <c r="B184" t="s">
        <v>970</v>
      </c>
      <c r="D184" t="s">
        <v>316</v>
      </c>
      <c r="E184">
        <v>1</v>
      </c>
      <c r="F184" t="s">
        <v>49</v>
      </c>
      <c r="G184" t="s">
        <v>50</v>
      </c>
      <c r="H184" t="s">
        <v>111</v>
      </c>
      <c r="I184" t="s">
        <v>112</v>
      </c>
    </row>
    <row r="185" spans="1:9">
      <c r="A185" t="s">
        <v>788</v>
      </c>
      <c r="B185" t="s">
        <v>971</v>
      </c>
      <c r="D185" t="s">
        <v>317</v>
      </c>
      <c r="E185">
        <v>1</v>
      </c>
      <c r="F185" t="s">
        <v>154</v>
      </c>
      <c r="G185" t="s">
        <v>154</v>
      </c>
      <c r="H185" t="s">
        <v>155</v>
      </c>
      <c r="I185" t="s">
        <v>225</v>
      </c>
    </row>
    <row r="186" spans="1:9">
      <c r="A186" t="s">
        <v>788</v>
      </c>
      <c r="B186" t="s">
        <v>972</v>
      </c>
      <c r="C186" t="s">
        <v>265</v>
      </c>
      <c r="D186" t="s">
        <v>318</v>
      </c>
      <c r="E186">
        <v>1</v>
      </c>
      <c r="F186" t="s">
        <v>46</v>
      </c>
      <c r="G186" t="s">
        <v>46</v>
      </c>
      <c r="H186" t="s">
        <v>266</v>
      </c>
      <c r="I186" t="s">
        <v>173</v>
      </c>
    </row>
    <row r="187" spans="1:9">
      <c r="A187" t="s">
        <v>788</v>
      </c>
      <c r="B187" t="s">
        <v>973</v>
      </c>
      <c r="D187" t="s">
        <v>147</v>
      </c>
      <c r="E187">
        <v>1</v>
      </c>
      <c r="F187" t="s">
        <v>46</v>
      </c>
      <c r="G187" t="s">
        <v>114</v>
      </c>
      <c r="H187" t="s">
        <v>114</v>
      </c>
      <c r="I187" t="s">
        <v>173</v>
      </c>
    </row>
    <row r="188" spans="1:9">
      <c r="A188" t="s">
        <v>788</v>
      </c>
      <c r="B188" t="s">
        <v>974</v>
      </c>
      <c r="D188" t="s">
        <v>319</v>
      </c>
      <c r="E188">
        <v>1</v>
      </c>
      <c r="F188" t="s">
        <v>46</v>
      </c>
      <c r="G188" t="s">
        <v>114</v>
      </c>
      <c r="H188" t="s">
        <v>114</v>
      </c>
      <c r="I188" t="s">
        <v>173</v>
      </c>
    </row>
    <row r="189" spans="1:9">
      <c r="A189" t="s">
        <v>788</v>
      </c>
      <c r="B189" t="s">
        <v>975</v>
      </c>
      <c r="D189" t="s">
        <v>320</v>
      </c>
      <c r="E189">
        <v>1</v>
      </c>
      <c r="F189" t="s">
        <v>46</v>
      </c>
      <c r="G189" t="s">
        <v>114</v>
      </c>
      <c r="H189" t="s">
        <v>114</v>
      </c>
      <c r="I189" t="s">
        <v>119</v>
      </c>
    </row>
    <row r="190" spans="1:9">
      <c r="A190" t="s">
        <v>788</v>
      </c>
      <c r="B190" t="s">
        <v>976</v>
      </c>
      <c r="D190" t="s">
        <v>322</v>
      </c>
      <c r="E190">
        <v>1</v>
      </c>
      <c r="F190" t="s">
        <v>154</v>
      </c>
      <c r="G190" t="s">
        <v>154</v>
      </c>
      <c r="H190" t="s">
        <v>155</v>
      </c>
      <c r="I190" t="s">
        <v>225</v>
      </c>
    </row>
    <row r="191" spans="1:9">
      <c r="A191" t="s">
        <v>788</v>
      </c>
      <c r="B191" t="s">
        <v>977</v>
      </c>
      <c r="C191" t="s">
        <v>265</v>
      </c>
      <c r="D191" t="s">
        <v>323</v>
      </c>
      <c r="E191">
        <v>1</v>
      </c>
      <c r="F191" t="s">
        <v>46</v>
      </c>
      <c r="G191" t="s">
        <v>46</v>
      </c>
      <c r="H191" t="s">
        <v>266</v>
      </c>
      <c r="I191" t="s">
        <v>173</v>
      </c>
    </row>
    <row r="192" spans="1:9">
      <c r="A192" t="s">
        <v>788</v>
      </c>
      <c r="B192" t="s">
        <v>978</v>
      </c>
      <c r="C192" t="s">
        <v>142</v>
      </c>
      <c r="D192" t="s">
        <v>324</v>
      </c>
      <c r="E192">
        <v>1</v>
      </c>
      <c r="F192" t="s">
        <v>46</v>
      </c>
      <c r="G192" t="s">
        <v>46</v>
      </c>
      <c r="H192" t="s">
        <v>65</v>
      </c>
      <c r="I192" t="s">
        <v>66</v>
      </c>
    </row>
    <row r="193" spans="1:9">
      <c r="A193" t="s">
        <v>788</v>
      </c>
      <c r="B193" t="s">
        <v>979</v>
      </c>
      <c r="C193" t="s">
        <v>195</v>
      </c>
      <c r="D193" t="s">
        <v>325</v>
      </c>
      <c r="E193">
        <v>1</v>
      </c>
      <c r="F193" t="s">
        <v>46</v>
      </c>
      <c r="G193" t="s">
        <v>46</v>
      </c>
      <c r="H193" t="s">
        <v>65</v>
      </c>
      <c r="I193" t="s">
        <v>66</v>
      </c>
    </row>
    <row r="194" spans="1:9">
      <c r="A194" t="s">
        <v>788</v>
      </c>
      <c r="B194" t="s">
        <v>980</v>
      </c>
      <c r="C194" t="s">
        <v>89</v>
      </c>
      <c r="D194" t="s">
        <v>326</v>
      </c>
      <c r="E194">
        <v>1</v>
      </c>
      <c r="F194" t="s">
        <v>46</v>
      </c>
      <c r="G194" t="s">
        <v>46</v>
      </c>
      <c r="H194" t="s">
        <v>65</v>
      </c>
      <c r="I194" t="s">
        <v>66</v>
      </c>
    </row>
    <row r="195" spans="1:9">
      <c r="A195" t="s">
        <v>788</v>
      </c>
      <c r="B195" t="s">
        <v>981</v>
      </c>
      <c r="C195" t="s">
        <v>265</v>
      </c>
      <c r="D195" t="s">
        <v>327</v>
      </c>
      <c r="E195">
        <v>1</v>
      </c>
      <c r="F195" t="s">
        <v>46</v>
      </c>
      <c r="G195" t="s">
        <v>46</v>
      </c>
      <c r="H195" t="s">
        <v>266</v>
      </c>
      <c r="I195" t="s">
        <v>66</v>
      </c>
    </row>
    <row r="196" spans="1:9">
      <c r="A196" t="s">
        <v>788</v>
      </c>
      <c r="B196" t="s">
        <v>982</v>
      </c>
      <c r="C196" t="s">
        <v>79</v>
      </c>
      <c r="D196" t="s">
        <v>298</v>
      </c>
      <c r="E196">
        <v>1</v>
      </c>
      <c r="F196" t="s">
        <v>46</v>
      </c>
      <c r="G196" t="s">
        <v>46</v>
      </c>
      <c r="H196" t="s">
        <v>65</v>
      </c>
      <c r="I196" t="s">
        <v>55</v>
      </c>
    </row>
    <row r="197" spans="1:9">
      <c r="A197" t="s">
        <v>788</v>
      </c>
      <c r="B197" t="s">
        <v>983</v>
      </c>
      <c r="C197" t="s">
        <v>195</v>
      </c>
      <c r="D197" t="s">
        <v>328</v>
      </c>
      <c r="E197">
        <v>1</v>
      </c>
      <c r="F197" t="s">
        <v>46</v>
      </c>
      <c r="G197" t="s">
        <v>46</v>
      </c>
      <c r="H197" t="s">
        <v>65</v>
      </c>
      <c r="I197" t="s">
        <v>66</v>
      </c>
    </row>
    <row r="198" spans="1:9">
      <c r="A198" t="s">
        <v>788</v>
      </c>
      <c r="B198" t="s">
        <v>984</v>
      </c>
      <c r="C198" t="s">
        <v>63</v>
      </c>
      <c r="D198" t="s">
        <v>329</v>
      </c>
      <c r="E198">
        <v>1</v>
      </c>
      <c r="F198" t="s">
        <v>46</v>
      </c>
      <c r="G198" t="s">
        <v>46</v>
      </c>
      <c r="H198" t="s">
        <v>65</v>
      </c>
      <c r="I198" t="s">
        <v>66</v>
      </c>
    </row>
    <row r="199" spans="1:9">
      <c r="A199" t="s">
        <v>788</v>
      </c>
      <c r="B199" t="s">
        <v>985</v>
      </c>
      <c r="C199" t="s">
        <v>67</v>
      </c>
      <c r="D199" t="s">
        <v>330</v>
      </c>
      <c r="E199">
        <v>1</v>
      </c>
      <c r="F199" t="s">
        <v>46</v>
      </c>
      <c r="G199" t="s">
        <v>46</v>
      </c>
      <c r="H199" t="s">
        <v>65</v>
      </c>
      <c r="I199" t="s">
        <v>66</v>
      </c>
    </row>
    <row r="200" spans="1:9">
      <c r="A200" t="s">
        <v>788</v>
      </c>
      <c r="B200" t="s">
        <v>986</v>
      </c>
      <c r="C200" t="s">
        <v>67</v>
      </c>
      <c r="D200" t="s">
        <v>331</v>
      </c>
      <c r="E200">
        <v>1</v>
      </c>
      <c r="F200" t="s">
        <v>46</v>
      </c>
      <c r="G200" t="s">
        <v>46</v>
      </c>
      <c r="H200" t="s">
        <v>65</v>
      </c>
      <c r="I200" t="s">
        <v>66</v>
      </c>
    </row>
    <row r="201" spans="1:9">
      <c r="A201" t="s">
        <v>788</v>
      </c>
      <c r="B201" t="s">
        <v>987</v>
      </c>
      <c r="C201" t="s">
        <v>195</v>
      </c>
      <c r="D201" t="s">
        <v>292</v>
      </c>
      <c r="E201">
        <v>1</v>
      </c>
      <c r="F201" t="s">
        <v>46</v>
      </c>
      <c r="G201" t="s">
        <v>46</v>
      </c>
      <c r="H201" t="s">
        <v>65</v>
      </c>
      <c r="I201" t="s">
        <v>66</v>
      </c>
    </row>
    <row r="202" spans="1:9">
      <c r="A202" t="s">
        <v>788</v>
      </c>
      <c r="B202" t="s">
        <v>988</v>
      </c>
      <c r="C202" t="s">
        <v>85</v>
      </c>
      <c r="D202" t="s">
        <v>332</v>
      </c>
      <c r="E202">
        <v>1</v>
      </c>
      <c r="F202" t="s">
        <v>46</v>
      </c>
      <c r="G202" t="s">
        <v>46</v>
      </c>
      <c r="H202" t="s">
        <v>65</v>
      </c>
      <c r="I202" t="s">
        <v>66</v>
      </c>
    </row>
    <row r="203" spans="1:9">
      <c r="A203" t="s">
        <v>788</v>
      </c>
      <c r="B203" t="s">
        <v>989</v>
      </c>
      <c r="C203" t="s">
        <v>142</v>
      </c>
      <c r="D203" t="s">
        <v>333</v>
      </c>
      <c r="E203">
        <v>1</v>
      </c>
      <c r="F203" t="s">
        <v>46</v>
      </c>
      <c r="G203" t="s">
        <v>46</v>
      </c>
      <c r="H203" t="s">
        <v>65</v>
      </c>
      <c r="I203" t="s">
        <v>66</v>
      </c>
    </row>
    <row r="204" spans="1:9">
      <c r="A204" t="s">
        <v>788</v>
      </c>
      <c r="B204" t="s">
        <v>990</v>
      </c>
      <c r="C204" t="s">
        <v>195</v>
      </c>
      <c r="D204" t="s">
        <v>335</v>
      </c>
      <c r="E204">
        <v>1</v>
      </c>
      <c r="F204" t="s">
        <v>46</v>
      </c>
      <c r="G204" t="s">
        <v>46</v>
      </c>
      <c r="H204" t="s">
        <v>65</v>
      </c>
      <c r="I204" t="s">
        <v>66</v>
      </c>
    </row>
    <row r="205" spans="1:9">
      <c r="A205" t="s">
        <v>788</v>
      </c>
      <c r="B205" t="s">
        <v>991</v>
      </c>
      <c r="D205" t="s">
        <v>336</v>
      </c>
      <c r="E205">
        <v>1</v>
      </c>
      <c r="F205" t="s">
        <v>49</v>
      </c>
      <c r="G205" t="s">
        <v>52</v>
      </c>
      <c r="H205" t="s">
        <v>52</v>
      </c>
      <c r="I205" t="s">
        <v>337</v>
      </c>
    </row>
    <row r="206" spans="1:9">
      <c r="A206" t="s">
        <v>788</v>
      </c>
      <c r="B206" t="s">
        <v>992</v>
      </c>
      <c r="D206" t="s">
        <v>120</v>
      </c>
      <c r="E206">
        <v>1</v>
      </c>
      <c r="F206" t="s">
        <v>49</v>
      </c>
      <c r="G206" t="s">
        <v>280</v>
      </c>
      <c r="H206" t="s">
        <v>280</v>
      </c>
      <c r="I206" t="s">
        <v>302</v>
      </c>
    </row>
    <row r="207" spans="1:9">
      <c r="A207" t="s">
        <v>788</v>
      </c>
      <c r="B207" t="s">
        <v>993</v>
      </c>
      <c r="C207" t="s">
        <v>69</v>
      </c>
      <c r="D207" t="s">
        <v>333</v>
      </c>
      <c r="E207">
        <v>1</v>
      </c>
      <c r="F207" t="s">
        <v>46</v>
      </c>
      <c r="G207" t="s">
        <v>70</v>
      </c>
      <c r="H207" t="s">
        <v>69</v>
      </c>
      <c r="I207" t="s">
        <v>82</v>
      </c>
    </row>
    <row r="208" spans="1:9">
      <c r="A208" t="s">
        <v>788</v>
      </c>
      <c r="B208" t="s">
        <v>994</v>
      </c>
      <c r="C208" t="s">
        <v>88</v>
      </c>
      <c r="D208" t="s">
        <v>340</v>
      </c>
      <c r="E208">
        <v>1</v>
      </c>
      <c r="F208" t="s">
        <v>46</v>
      </c>
      <c r="G208" t="s">
        <v>46</v>
      </c>
      <c r="H208" t="s">
        <v>65</v>
      </c>
      <c r="I208" t="s">
        <v>339</v>
      </c>
    </row>
    <row r="209" spans="1:9">
      <c r="A209" t="s">
        <v>788</v>
      </c>
      <c r="B209" t="s">
        <v>995</v>
      </c>
      <c r="C209" t="s">
        <v>160</v>
      </c>
      <c r="D209" t="s">
        <v>341</v>
      </c>
      <c r="E209">
        <v>1</v>
      </c>
      <c r="F209" t="s">
        <v>46</v>
      </c>
      <c r="G209" t="s">
        <v>46</v>
      </c>
      <c r="H209" t="s">
        <v>65</v>
      </c>
      <c r="I209" t="s">
        <v>339</v>
      </c>
    </row>
    <row r="210" spans="1:9">
      <c r="A210" t="s">
        <v>788</v>
      </c>
      <c r="B210" t="s">
        <v>996</v>
      </c>
      <c r="C210" t="s">
        <v>160</v>
      </c>
      <c r="D210" t="s">
        <v>342</v>
      </c>
      <c r="E210">
        <v>1</v>
      </c>
      <c r="F210" t="s">
        <v>46</v>
      </c>
      <c r="G210" t="s">
        <v>46</v>
      </c>
      <c r="H210" t="s">
        <v>65</v>
      </c>
      <c r="I210" t="s">
        <v>339</v>
      </c>
    </row>
    <row r="211" spans="1:9">
      <c r="A211" t="s">
        <v>788</v>
      </c>
      <c r="B211" t="s">
        <v>997</v>
      </c>
      <c r="C211" t="s">
        <v>142</v>
      </c>
      <c r="D211" t="s">
        <v>343</v>
      </c>
      <c r="E211">
        <v>1</v>
      </c>
      <c r="F211" t="s">
        <v>46</v>
      </c>
      <c r="G211" t="s">
        <v>46</v>
      </c>
      <c r="H211" t="s">
        <v>65</v>
      </c>
      <c r="I211" t="s">
        <v>339</v>
      </c>
    </row>
    <row r="212" spans="1:9">
      <c r="A212" t="s">
        <v>788</v>
      </c>
      <c r="B212" t="s">
        <v>998</v>
      </c>
      <c r="C212" t="s">
        <v>160</v>
      </c>
      <c r="D212" t="s">
        <v>344</v>
      </c>
      <c r="E212">
        <v>1</v>
      </c>
      <c r="F212" t="s">
        <v>46</v>
      </c>
      <c r="G212" t="s">
        <v>46</v>
      </c>
      <c r="H212" t="s">
        <v>65</v>
      </c>
      <c r="I212" t="s">
        <v>339</v>
      </c>
    </row>
    <row r="213" spans="1:9">
      <c r="A213" t="s">
        <v>788</v>
      </c>
      <c r="B213" t="s">
        <v>999</v>
      </c>
      <c r="D213" t="s">
        <v>345</v>
      </c>
      <c r="E213">
        <v>1</v>
      </c>
      <c r="F213" t="s">
        <v>46</v>
      </c>
      <c r="G213" t="s">
        <v>70</v>
      </c>
      <c r="H213" t="s">
        <v>177</v>
      </c>
      <c r="I213" t="s">
        <v>191</v>
      </c>
    </row>
    <row r="214" spans="1:9">
      <c r="A214" t="s">
        <v>788</v>
      </c>
      <c r="B214" t="s">
        <v>1000</v>
      </c>
      <c r="C214" t="s">
        <v>69</v>
      </c>
      <c r="D214" t="s">
        <v>346</v>
      </c>
      <c r="E214">
        <v>1</v>
      </c>
      <c r="F214" t="s">
        <v>46</v>
      </c>
      <c r="G214" t="s">
        <v>70</v>
      </c>
      <c r="H214" t="s">
        <v>69</v>
      </c>
      <c r="I214" t="s">
        <v>82</v>
      </c>
    </row>
    <row r="215" spans="1:9">
      <c r="A215" t="s">
        <v>788</v>
      </c>
      <c r="B215" t="s">
        <v>1001</v>
      </c>
      <c r="D215" t="s">
        <v>290</v>
      </c>
      <c r="E215">
        <v>1</v>
      </c>
      <c r="F215" t="s">
        <v>46</v>
      </c>
      <c r="G215" t="s">
        <v>116</v>
      </c>
      <c r="H215" t="s">
        <v>117</v>
      </c>
      <c r="I215" t="s">
        <v>347</v>
      </c>
    </row>
    <row r="216" spans="1:9">
      <c r="A216" t="s">
        <v>788</v>
      </c>
      <c r="B216" t="s">
        <v>1002</v>
      </c>
      <c r="C216" t="s">
        <v>67</v>
      </c>
      <c r="D216" t="s">
        <v>348</v>
      </c>
      <c r="E216">
        <v>1</v>
      </c>
      <c r="F216" t="s">
        <v>46</v>
      </c>
      <c r="G216" t="s">
        <v>46</v>
      </c>
      <c r="H216" t="s">
        <v>65</v>
      </c>
      <c r="I216" t="s">
        <v>339</v>
      </c>
    </row>
    <row r="217" spans="1:9">
      <c r="A217" t="s">
        <v>788</v>
      </c>
      <c r="B217" t="s">
        <v>1003</v>
      </c>
      <c r="D217" t="s">
        <v>349</v>
      </c>
      <c r="E217">
        <v>1</v>
      </c>
      <c r="F217" t="s">
        <v>46</v>
      </c>
      <c r="G217" t="s">
        <v>116</v>
      </c>
      <c r="H217" t="s">
        <v>117</v>
      </c>
      <c r="I217" t="s">
        <v>118</v>
      </c>
    </row>
    <row r="218" spans="1:9">
      <c r="A218" t="s">
        <v>788</v>
      </c>
      <c r="B218" t="s">
        <v>1004</v>
      </c>
      <c r="D218" t="s">
        <v>352</v>
      </c>
      <c r="E218">
        <v>1</v>
      </c>
      <c r="F218" t="s">
        <v>154</v>
      </c>
      <c r="G218" t="s">
        <v>154</v>
      </c>
      <c r="H218" t="s">
        <v>155</v>
      </c>
      <c r="I218" t="s">
        <v>225</v>
      </c>
    </row>
    <row r="219" spans="1:9">
      <c r="A219" t="s">
        <v>788</v>
      </c>
      <c r="B219" t="s">
        <v>1005</v>
      </c>
      <c r="D219" t="s">
        <v>353</v>
      </c>
      <c r="E219">
        <v>1</v>
      </c>
      <c r="F219" t="s">
        <v>46</v>
      </c>
      <c r="G219" t="s">
        <v>116</v>
      </c>
      <c r="H219" t="s">
        <v>117</v>
      </c>
      <c r="I219" t="s">
        <v>118</v>
      </c>
    </row>
    <row r="220" spans="1:9">
      <c r="A220" t="s">
        <v>788</v>
      </c>
      <c r="B220" t="s">
        <v>1006</v>
      </c>
      <c r="D220" t="s">
        <v>354</v>
      </c>
      <c r="E220">
        <v>1</v>
      </c>
      <c r="F220" t="s">
        <v>46</v>
      </c>
      <c r="G220" t="s">
        <v>46</v>
      </c>
      <c r="H220" t="s">
        <v>211</v>
      </c>
      <c r="I220" t="s">
        <v>72</v>
      </c>
    </row>
    <row r="221" spans="1:9">
      <c r="A221" t="s">
        <v>788</v>
      </c>
      <c r="B221" t="s">
        <v>1007</v>
      </c>
      <c r="D221" t="s">
        <v>355</v>
      </c>
      <c r="E221">
        <v>1</v>
      </c>
      <c r="F221" t="s">
        <v>46</v>
      </c>
      <c r="G221" t="s">
        <v>70</v>
      </c>
      <c r="H221" t="s">
        <v>177</v>
      </c>
      <c r="I221" t="s">
        <v>191</v>
      </c>
    </row>
    <row r="222" spans="1:9">
      <c r="A222" t="s">
        <v>788</v>
      </c>
      <c r="B222" t="s">
        <v>1008</v>
      </c>
      <c r="D222" t="s">
        <v>356</v>
      </c>
      <c r="E222">
        <v>1</v>
      </c>
      <c r="F222" t="s">
        <v>154</v>
      </c>
      <c r="G222" t="s">
        <v>154</v>
      </c>
      <c r="H222" t="s">
        <v>155</v>
      </c>
      <c r="I222" t="s">
        <v>225</v>
      </c>
    </row>
    <row r="223" spans="1:9">
      <c r="A223" t="s">
        <v>788</v>
      </c>
      <c r="B223" t="s">
        <v>1009</v>
      </c>
      <c r="D223" t="s">
        <v>357</v>
      </c>
      <c r="E223">
        <v>1</v>
      </c>
      <c r="F223" t="s">
        <v>154</v>
      </c>
      <c r="G223" t="s">
        <v>154</v>
      </c>
      <c r="H223" t="s">
        <v>155</v>
      </c>
      <c r="I223" t="s">
        <v>225</v>
      </c>
    </row>
    <row r="224" spans="1:9">
      <c r="A224" t="s">
        <v>788</v>
      </c>
      <c r="B224" t="s">
        <v>1010</v>
      </c>
      <c r="D224" t="s">
        <v>358</v>
      </c>
      <c r="E224">
        <v>1</v>
      </c>
      <c r="F224" t="s">
        <v>154</v>
      </c>
      <c r="G224" t="s">
        <v>154</v>
      </c>
      <c r="H224" t="s">
        <v>155</v>
      </c>
      <c r="I224" t="s">
        <v>225</v>
      </c>
    </row>
    <row r="225" spans="1:9">
      <c r="A225" t="s">
        <v>788</v>
      </c>
      <c r="B225" t="s">
        <v>1011</v>
      </c>
      <c r="D225" t="s">
        <v>359</v>
      </c>
      <c r="E225">
        <v>1</v>
      </c>
      <c r="F225" t="s">
        <v>154</v>
      </c>
      <c r="G225" t="s">
        <v>154</v>
      </c>
      <c r="H225" t="s">
        <v>155</v>
      </c>
      <c r="I225" t="s">
        <v>225</v>
      </c>
    </row>
    <row r="226" spans="1:9">
      <c r="A226" t="s">
        <v>788</v>
      </c>
      <c r="B226" t="s">
        <v>1012</v>
      </c>
      <c r="C226" t="s">
        <v>160</v>
      </c>
      <c r="D226" t="s">
        <v>360</v>
      </c>
      <c r="E226">
        <v>1</v>
      </c>
      <c r="F226" t="s">
        <v>46</v>
      </c>
      <c r="G226" t="s">
        <v>46</v>
      </c>
      <c r="H226" t="s">
        <v>65</v>
      </c>
      <c r="I226" t="s">
        <v>339</v>
      </c>
    </row>
    <row r="227" spans="1:9">
      <c r="A227" t="s">
        <v>788</v>
      </c>
      <c r="B227" t="s">
        <v>1013</v>
      </c>
      <c r="C227" t="s">
        <v>195</v>
      </c>
      <c r="D227" t="s">
        <v>361</v>
      </c>
      <c r="E227">
        <v>1</v>
      </c>
      <c r="F227" t="s">
        <v>46</v>
      </c>
      <c r="G227" t="s">
        <v>46</v>
      </c>
      <c r="H227" t="s">
        <v>65</v>
      </c>
      <c r="I227" t="s">
        <v>72</v>
      </c>
    </row>
    <row r="228" spans="1:9">
      <c r="A228" t="s">
        <v>788</v>
      </c>
      <c r="B228" t="s">
        <v>1014</v>
      </c>
      <c r="C228" t="s">
        <v>160</v>
      </c>
      <c r="D228" t="s">
        <v>362</v>
      </c>
      <c r="E228">
        <v>1</v>
      </c>
      <c r="F228" t="s">
        <v>46</v>
      </c>
      <c r="G228" t="s">
        <v>46</v>
      </c>
      <c r="H228" t="s">
        <v>65</v>
      </c>
      <c r="I228" t="s">
        <v>339</v>
      </c>
    </row>
    <row r="229" spans="1:9">
      <c r="A229" t="s">
        <v>788</v>
      </c>
      <c r="B229" t="s">
        <v>1015</v>
      </c>
      <c r="C229" t="s">
        <v>75</v>
      </c>
      <c r="D229" t="s">
        <v>363</v>
      </c>
      <c r="E229">
        <v>1</v>
      </c>
      <c r="F229" t="s">
        <v>46</v>
      </c>
      <c r="G229" t="s">
        <v>46</v>
      </c>
      <c r="H229" t="s">
        <v>44</v>
      </c>
      <c r="I229" t="s">
        <v>339</v>
      </c>
    </row>
    <row r="230" spans="1:9">
      <c r="A230" t="s">
        <v>788</v>
      </c>
      <c r="B230" t="s">
        <v>1016</v>
      </c>
      <c r="C230" t="s">
        <v>88</v>
      </c>
      <c r="D230" t="s">
        <v>364</v>
      </c>
      <c r="E230">
        <v>1</v>
      </c>
      <c r="F230" t="s">
        <v>46</v>
      </c>
      <c r="G230" t="s">
        <v>46</v>
      </c>
      <c r="H230" t="s">
        <v>65</v>
      </c>
      <c r="I230" t="s">
        <v>339</v>
      </c>
    </row>
    <row r="231" spans="1:9">
      <c r="A231" t="s">
        <v>788</v>
      </c>
      <c r="B231" t="s">
        <v>1017</v>
      </c>
      <c r="C231" t="s">
        <v>160</v>
      </c>
      <c r="D231" t="s">
        <v>365</v>
      </c>
      <c r="E231">
        <v>1</v>
      </c>
      <c r="F231" t="s">
        <v>46</v>
      </c>
      <c r="G231" t="s">
        <v>46</v>
      </c>
      <c r="H231" t="s">
        <v>65</v>
      </c>
      <c r="I231" t="s">
        <v>339</v>
      </c>
    </row>
    <row r="232" spans="1:9">
      <c r="A232" t="s">
        <v>788</v>
      </c>
      <c r="B232" t="s">
        <v>1018</v>
      </c>
      <c r="C232" t="s">
        <v>89</v>
      </c>
      <c r="D232" t="s">
        <v>366</v>
      </c>
      <c r="E232">
        <v>1</v>
      </c>
      <c r="F232" t="s">
        <v>46</v>
      </c>
      <c r="G232" t="s">
        <v>46</v>
      </c>
      <c r="H232" t="s">
        <v>65</v>
      </c>
      <c r="I232" t="s">
        <v>339</v>
      </c>
    </row>
    <row r="233" spans="1:9">
      <c r="A233" t="s">
        <v>788</v>
      </c>
      <c r="B233" t="s">
        <v>1019</v>
      </c>
      <c r="C233" t="s">
        <v>89</v>
      </c>
      <c r="D233" t="s">
        <v>367</v>
      </c>
      <c r="E233">
        <v>1</v>
      </c>
      <c r="F233" t="s">
        <v>46</v>
      </c>
      <c r="G233" t="s">
        <v>46</v>
      </c>
      <c r="H233" t="s">
        <v>65</v>
      </c>
      <c r="I233" t="s">
        <v>339</v>
      </c>
    </row>
    <row r="234" spans="1:9">
      <c r="A234" t="s">
        <v>788</v>
      </c>
      <c r="B234" t="s">
        <v>1020</v>
      </c>
      <c r="C234" t="s">
        <v>160</v>
      </c>
      <c r="D234" t="s">
        <v>368</v>
      </c>
      <c r="E234">
        <v>1</v>
      </c>
      <c r="F234" t="s">
        <v>46</v>
      </c>
      <c r="G234" t="s">
        <v>46</v>
      </c>
      <c r="H234" t="s">
        <v>65</v>
      </c>
      <c r="I234" t="s">
        <v>339</v>
      </c>
    </row>
    <row r="235" spans="1:9">
      <c r="A235" t="s">
        <v>788</v>
      </c>
      <c r="B235" t="s">
        <v>1021</v>
      </c>
      <c r="C235" t="s">
        <v>142</v>
      </c>
      <c r="D235" t="s">
        <v>369</v>
      </c>
      <c r="E235">
        <v>1</v>
      </c>
      <c r="F235" t="s">
        <v>46</v>
      </c>
      <c r="G235" t="s">
        <v>46</v>
      </c>
      <c r="H235" t="s">
        <v>65</v>
      </c>
      <c r="I235" t="s">
        <v>339</v>
      </c>
    </row>
    <row r="236" spans="1:9">
      <c r="A236" t="s">
        <v>788</v>
      </c>
      <c r="B236" t="s">
        <v>1022</v>
      </c>
      <c r="C236" t="s">
        <v>160</v>
      </c>
      <c r="D236" t="s">
        <v>370</v>
      </c>
      <c r="E236">
        <v>1</v>
      </c>
      <c r="F236" t="s">
        <v>46</v>
      </c>
      <c r="G236" t="s">
        <v>46</v>
      </c>
      <c r="H236" t="s">
        <v>65</v>
      </c>
      <c r="I236" t="s">
        <v>339</v>
      </c>
    </row>
    <row r="237" spans="1:9">
      <c r="A237" t="s">
        <v>788</v>
      </c>
      <c r="B237" t="s">
        <v>1023</v>
      </c>
      <c r="C237" t="s">
        <v>160</v>
      </c>
      <c r="D237" t="s">
        <v>371</v>
      </c>
      <c r="E237">
        <v>1</v>
      </c>
      <c r="F237" t="s">
        <v>46</v>
      </c>
      <c r="G237" t="s">
        <v>46</v>
      </c>
      <c r="H237" t="s">
        <v>65</v>
      </c>
      <c r="I237" t="s">
        <v>339</v>
      </c>
    </row>
    <row r="238" spans="1:9">
      <c r="A238" t="s">
        <v>788</v>
      </c>
      <c r="B238" t="s">
        <v>1024</v>
      </c>
      <c r="C238" t="s">
        <v>73</v>
      </c>
      <c r="D238" t="s">
        <v>372</v>
      </c>
      <c r="E238">
        <v>1</v>
      </c>
      <c r="F238" t="s">
        <v>46</v>
      </c>
      <c r="G238" t="s">
        <v>46</v>
      </c>
      <c r="H238" t="s">
        <v>65</v>
      </c>
      <c r="I238" t="s">
        <v>55</v>
      </c>
    </row>
    <row r="239" spans="1:9">
      <c r="A239" t="s">
        <v>788</v>
      </c>
      <c r="B239" t="s">
        <v>1025</v>
      </c>
      <c r="C239" t="s">
        <v>160</v>
      </c>
      <c r="D239" t="s">
        <v>373</v>
      </c>
      <c r="E239">
        <v>1</v>
      </c>
      <c r="F239" t="s">
        <v>46</v>
      </c>
      <c r="G239" t="s">
        <v>46</v>
      </c>
      <c r="H239" t="s">
        <v>65</v>
      </c>
      <c r="I239" t="s">
        <v>55</v>
      </c>
    </row>
    <row r="240" spans="1:9">
      <c r="A240" t="s">
        <v>788</v>
      </c>
      <c r="B240" t="s">
        <v>1026</v>
      </c>
      <c r="C240" t="s">
        <v>160</v>
      </c>
      <c r="D240" t="s">
        <v>374</v>
      </c>
      <c r="E240">
        <v>1</v>
      </c>
      <c r="F240" t="s">
        <v>46</v>
      </c>
      <c r="G240" t="s">
        <v>46</v>
      </c>
      <c r="H240" t="s">
        <v>65</v>
      </c>
      <c r="I240" t="s">
        <v>339</v>
      </c>
    </row>
    <row r="241" spans="1:9">
      <c r="A241" t="s">
        <v>788</v>
      </c>
      <c r="B241" t="s">
        <v>1027</v>
      </c>
      <c r="C241" t="s">
        <v>160</v>
      </c>
      <c r="D241" t="s">
        <v>375</v>
      </c>
      <c r="E241">
        <v>1</v>
      </c>
      <c r="F241" t="s">
        <v>46</v>
      </c>
      <c r="G241" t="s">
        <v>46</v>
      </c>
      <c r="H241" t="s">
        <v>65</v>
      </c>
      <c r="I241" t="s">
        <v>339</v>
      </c>
    </row>
    <row r="242" spans="1:9">
      <c r="A242" t="s">
        <v>788</v>
      </c>
      <c r="B242" t="s">
        <v>1028</v>
      </c>
      <c r="C242" t="s">
        <v>160</v>
      </c>
      <c r="D242" t="s">
        <v>376</v>
      </c>
      <c r="E242">
        <v>1</v>
      </c>
      <c r="F242" t="s">
        <v>46</v>
      </c>
      <c r="G242" t="s">
        <v>46</v>
      </c>
      <c r="H242" t="s">
        <v>65</v>
      </c>
      <c r="I242" t="s">
        <v>339</v>
      </c>
    </row>
    <row r="243" spans="1:9">
      <c r="A243" t="s">
        <v>788</v>
      </c>
      <c r="B243" t="s">
        <v>1029</v>
      </c>
      <c r="C243" t="s">
        <v>79</v>
      </c>
      <c r="D243" t="s">
        <v>377</v>
      </c>
      <c r="E243">
        <v>1</v>
      </c>
      <c r="F243" t="s">
        <v>46</v>
      </c>
      <c r="G243" t="s">
        <v>46</v>
      </c>
      <c r="H243" t="s">
        <v>65</v>
      </c>
      <c r="I243" t="s">
        <v>55</v>
      </c>
    </row>
    <row r="244" spans="1:9">
      <c r="A244" t="s">
        <v>788</v>
      </c>
      <c r="B244" t="s">
        <v>1030</v>
      </c>
      <c r="C244" t="s">
        <v>75</v>
      </c>
      <c r="D244" t="s">
        <v>378</v>
      </c>
      <c r="E244">
        <v>1</v>
      </c>
      <c r="F244" t="s">
        <v>46</v>
      </c>
      <c r="G244" t="s">
        <v>46</v>
      </c>
      <c r="H244" t="s">
        <v>44</v>
      </c>
      <c r="I244" t="s">
        <v>339</v>
      </c>
    </row>
    <row r="245" spans="1:9">
      <c r="A245" t="s">
        <v>788</v>
      </c>
      <c r="B245" t="s">
        <v>1031</v>
      </c>
      <c r="C245" t="s">
        <v>160</v>
      </c>
      <c r="D245" t="s">
        <v>379</v>
      </c>
      <c r="E245">
        <v>1</v>
      </c>
      <c r="F245" t="s">
        <v>46</v>
      </c>
      <c r="G245" t="s">
        <v>46</v>
      </c>
      <c r="H245" t="s">
        <v>65</v>
      </c>
      <c r="I245" t="s">
        <v>339</v>
      </c>
    </row>
    <row r="246" spans="1:9">
      <c r="A246" t="s">
        <v>788</v>
      </c>
      <c r="B246" t="s">
        <v>1032</v>
      </c>
      <c r="D246" t="s">
        <v>380</v>
      </c>
      <c r="E246">
        <v>1</v>
      </c>
      <c r="F246" t="s">
        <v>46</v>
      </c>
      <c r="G246" t="s">
        <v>70</v>
      </c>
      <c r="H246" t="s">
        <v>177</v>
      </c>
      <c r="I246" t="s">
        <v>191</v>
      </c>
    </row>
    <row r="247" spans="1:9">
      <c r="A247" t="s">
        <v>788</v>
      </c>
      <c r="B247" t="s">
        <v>1033</v>
      </c>
      <c r="C247" t="s">
        <v>195</v>
      </c>
      <c r="D247" t="s">
        <v>381</v>
      </c>
      <c r="E247">
        <v>1</v>
      </c>
      <c r="F247" t="s">
        <v>46</v>
      </c>
      <c r="G247" t="s">
        <v>46</v>
      </c>
      <c r="H247" t="s">
        <v>65</v>
      </c>
      <c r="I247" t="s">
        <v>339</v>
      </c>
    </row>
    <row r="248" spans="1:9">
      <c r="A248" t="s">
        <v>788</v>
      </c>
      <c r="B248" t="s">
        <v>1034</v>
      </c>
      <c r="C248" t="s">
        <v>142</v>
      </c>
      <c r="D248" t="s">
        <v>382</v>
      </c>
      <c r="E248">
        <v>1</v>
      </c>
      <c r="F248" t="s">
        <v>46</v>
      </c>
      <c r="G248" t="s">
        <v>46</v>
      </c>
      <c r="H248" t="s">
        <v>65</v>
      </c>
      <c r="I248" t="s">
        <v>339</v>
      </c>
    </row>
    <row r="249" spans="1:9">
      <c r="A249" t="s">
        <v>788</v>
      </c>
      <c r="B249" t="s">
        <v>1035</v>
      </c>
      <c r="D249" t="s">
        <v>384</v>
      </c>
      <c r="E249">
        <v>1</v>
      </c>
      <c r="F249" t="s">
        <v>46</v>
      </c>
      <c r="G249" t="s">
        <v>114</v>
      </c>
      <c r="H249" t="s">
        <v>114</v>
      </c>
      <c r="I249" t="s">
        <v>173</v>
      </c>
    </row>
    <row r="250" spans="1:9">
      <c r="A250" t="s">
        <v>788</v>
      </c>
      <c r="B250" t="s">
        <v>1036</v>
      </c>
      <c r="D250" t="s">
        <v>385</v>
      </c>
      <c r="E250">
        <v>1</v>
      </c>
      <c r="F250" t="s">
        <v>42</v>
      </c>
      <c r="G250" t="s">
        <v>42</v>
      </c>
      <c r="H250" t="s">
        <v>42</v>
      </c>
      <c r="I250" t="s">
        <v>229</v>
      </c>
    </row>
    <row r="251" spans="1:9">
      <c r="A251" t="s">
        <v>788</v>
      </c>
      <c r="B251" t="s">
        <v>1037</v>
      </c>
      <c r="C251" t="s">
        <v>85</v>
      </c>
      <c r="D251" t="s">
        <v>386</v>
      </c>
      <c r="E251">
        <v>1</v>
      </c>
      <c r="F251" t="s">
        <v>46</v>
      </c>
      <c r="G251" t="s">
        <v>46</v>
      </c>
      <c r="H251" t="s">
        <v>65</v>
      </c>
      <c r="I251" t="s">
        <v>339</v>
      </c>
    </row>
    <row r="252" spans="1:9">
      <c r="A252" t="s">
        <v>788</v>
      </c>
      <c r="B252" t="s">
        <v>1038</v>
      </c>
      <c r="D252" t="s">
        <v>387</v>
      </c>
      <c r="E252">
        <v>1</v>
      </c>
      <c r="F252" t="s">
        <v>46</v>
      </c>
      <c r="G252" t="s">
        <v>116</v>
      </c>
      <c r="H252" t="s">
        <v>117</v>
      </c>
      <c r="I252" t="s">
        <v>118</v>
      </c>
    </row>
    <row r="253" spans="1:9">
      <c r="A253" t="s">
        <v>788</v>
      </c>
      <c r="B253" t="s">
        <v>1039</v>
      </c>
      <c r="D253" t="s">
        <v>240</v>
      </c>
      <c r="E253">
        <v>1</v>
      </c>
      <c r="F253" t="s">
        <v>46</v>
      </c>
      <c r="G253" t="s">
        <v>116</v>
      </c>
      <c r="H253" t="s">
        <v>117</v>
      </c>
      <c r="I253" t="s">
        <v>118</v>
      </c>
    </row>
    <row r="254" spans="1:9">
      <c r="A254" t="s">
        <v>788</v>
      </c>
      <c r="B254" t="s">
        <v>1040</v>
      </c>
      <c r="C254" t="s">
        <v>85</v>
      </c>
      <c r="D254" t="s">
        <v>388</v>
      </c>
      <c r="E254">
        <v>1</v>
      </c>
      <c r="F254" t="s">
        <v>46</v>
      </c>
      <c r="G254" t="s">
        <v>46</v>
      </c>
      <c r="H254" t="s">
        <v>40</v>
      </c>
      <c r="I254" t="s">
        <v>383</v>
      </c>
    </row>
    <row r="255" spans="1:9">
      <c r="A255" t="s">
        <v>788</v>
      </c>
      <c r="B255" t="s">
        <v>1041</v>
      </c>
      <c r="C255" t="s">
        <v>265</v>
      </c>
      <c r="D255" t="s">
        <v>389</v>
      </c>
      <c r="E255">
        <v>1</v>
      </c>
      <c r="F255" t="s">
        <v>46</v>
      </c>
      <c r="G255" t="s">
        <v>46</v>
      </c>
      <c r="H255" t="s">
        <v>266</v>
      </c>
      <c r="I255" t="s">
        <v>383</v>
      </c>
    </row>
    <row r="256" spans="1:9">
      <c r="A256" t="s">
        <v>788</v>
      </c>
      <c r="B256" t="s">
        <v>1042</v>
      </c>
      <c r="C256" t="s">
        <v>67</v>
      </c>
      <c r="D256" t="s">
        <v>390</v>
      </c>
      <c r="E256">
        <v>1</v>
      </c>
      <c r="F256" t="s">
        <v>46</v>
      </c>
      <c r="G256" t="s">
        <v>46</v>
      </c>
      <c r="H256" t="s">
        <v>40</v>
      </c>
      <c r="I256" t="s">
        <v>383</v>
      </c>
    </row>
    <row r="257" spans="1:9">
      <c r="A257" t="s">
        <v>788</v>
      </c>
      <c r="B257" t="s">
        <v>1043</v>
      </c>
      <c r="C257" t="s">
        <v>67</v>
      </c>
      <c r="D257" t="s">
        <v>391</v>
      </c>
      <c r="E257">
        <v>1</v>
      </c>
      <c r="F257" t="s">
        <v>46</v>
      </c>
      <c r="G257" t="s">
        <v>46</v>
      </c>
      <c r="H257" t="s">
        <v>40</v>
      </c>
      <c r="I257" t="s">
        <v>383</v>
      </c>
    </row>
    <row r="258" spans="1:9">
      <c r="A258" t="s">
        <v>788</v>
      </c>
      <c r="B258" t="s">
        <v>1044</v>
      </c>
      <c r="D258" t="s">
        <v>392</v>
      </c>
      <c r="E258">
        <v>1</v>
      </c>
      <c r="F258" t="s">
        <v>154</v>
      </c>
      <c r="G258" t="s">
        <v>154</v>
      </c>
      <c r="H258" t="s">
        <v>155</v>
      </c>
      <c r="I258" t="s">
        <v>225</v>
      </c>
    </row>
    <row r="259" spans="1:9">
      <c r="A259" t="s">
        <v>788</v>
      </c>
      <c r="B259" t="s">
        <v>1045</v>
      </c>
      <c r="D259" t="s">
        <v>393</v>
      </c>
      <c r="E259">
        <v>1</v>
      </c>
      <c r="F259" t="s">
        <v>154</v>
      </c>
      <c r="G259" t="s">
        <v>154</v>
      </c>
      <c r="H259" t="s">
        <v>155</v>
      </c>
      <c r="I259" t="s">
        <v>225</v>
      </c>
    </row>
    <row r="260" spans="1:9">
      <c r="A260" t="s">
        <v>788</v>
      </c>
      <c r="B260" t="s">
        <v>1046</v>
      </c>
      <c r="D260" t="s">
        <v>394</v>
      </c>
      <c r="E260">
        <v>1</v>
      </c>
      <c r="F260" t="s">
        <v>154</v>
      </c>
      <c r="G260" t="s">
        <v>154</v>
      </c>
      <c r="H260" t="s">
        <v>155</v>
      </c>
      <c r="I260" t="s">
        <v>225</v>
      </c>
    </row>
    <row r="261" spans="1:9">
      <c r="A261" t="s">
        <v>788</v>
      </c>
      <c r="B261" t="s">
        <v>1047</v>
      </c>
      <c r="D261" t="s">
        <v>396</v>
      </c>
      <c r="E261">
        <v>1</v>
      </c>
      <c r="F261" t="s">
        <v>154</v>
      </c>
      <c r="G261" t="s">
        <v>154</v>
      </c>
      <c r="H261" t="s">
        <v>155</v>
      </c>
      <c r="I261" t="s">
        <v>225</v>
      </c>
    </row>
    <row r="262" spans="1:9">
      <c r="A262" t="s">
        <v>788</v>
      </c>
      <c r="B262" t="s">
        <v>1048</v>
      </c>
      <c r="D262" t="s">
        <v>397</v>
      </c>
      <c r="E262">
        <v>1</v>
      </c>
      <c r="F262" t="s">
        <v>154</v>
      </c>
      <c r="G262" t="s">
        <v>154</v>
      </c>
      <c r="H262" t="s">
        <v>155</v>
      </c>
      <c r="I262" t="s">
        <v>225</v>
      </c>
    </row>
    <row r="263" spans="1:9">
      <c r="A263" t="s">
        <v>788</v>
      </c>
      <c r="B263" t="s">
        <v>1049</v>
      </c>
      <c r="D263" t="s">
        <v>398</v>
      </c>
      <c r="E263">
        <v>1</v>
      </c>
      <c r="F263" t="s">
        <v>46</v>
      </c>
      <c r="G263" t="s">
        <v>46</v>
      </c>
      <c r="H263" t="s">
        <v>58</v>
      </c>
      <c r="I263" t="s">
        <v>110</v>
      </c>
    </row>
    <row r="264" spans="1:9">
      <c r="A264" t="s">
        <v>788</v>
      </c>
      <c r="B264" t="s">
        <v>1050</v>
      </c>
      <c r="D264" t="s">
        <v>121</v>
      </c>
      <c r="E264">
        <v>1</v>
      </c>
      <c r="F264" t="s">
        <v>154</v>
      </c>
      <c r="G264" t="s">
        <v>154</v>
      </c>
      <c r="H264" t="s">
        <v>155</v>
      </c>
      <c r="I264" t="s">
        <v>225</v>
      </c>
    </row>
    <row r="265" spans="1:9">
      <c r="A265" t="s">
        <v>788</v>
      </c>
      <c r="B265" t="s">
        <v>1051</v>
      </c>
      <c r="C265" t="s">
        <v>89</v>
      </c>
      <c r="D265" t="s">
        <v>399</v>
      </c>
      <c r="E265">
        <v>1</v>
      </c>
      <c r="F265" t="s">
        <v>46</v>
      </c>
      <c r="G265" t="s">
        <v>46</v>
      </c>
      <c r="H265" t="s">
        <v>65</v>
      </c>
      <c r="I265" t="s">
        <v>339</v>
      </c>
    </row>
    <row r="266" spans="1:9">
      <c r="A266" t="s">
        <v>788</v>
      </c>
      <c r="B266" t="s">
        <v>1052</v>
      </c>
      <c r="C266" t="s">
        <v>67</v>
      </c>
      <c r="D266" t="s">
        <v>400</v>
      </c>
      <c r="E266">
        <v>1</v>
      </c>
      <c r="F266" t="s">
        <v>46</v>
      </c>
      <c r="G266" t="s">
        <v>46</v>
      </c>
      <c r="H266" t="s">
        <v>65</v>
      </c>
      <c r="I266" t="s">
        <v>339</v>
      </c>
    </row>
    <row r="267" spans="1:9">
      <c r="A267" t="s">
        <v>788</v>
      </c>
      <c r="B267" t="s">
        <v>1053</v>
      </c>
      <c r="C267" t="s">
        <v>88</v>
      </c>
      <c r="D267" t="s">
        <v>401</v>
      </c>
      <c r="E267">
        <v>1</v>
      </c>
      <c r="F267" t="s">
        <v>46</v>
      </c>
      <c r="G267" t="s">
        <v>46</v>
      </c>
      <c r="H267" t="s">
        <v>65</v>
      </c>
      <c r="I267" t="s">
        <v>339</v>
      </c>
    </row>
    <row r="268" spans="1:9">
      <c r="A268" t="s">
        <v>788</v>
      </c>
      <c r="B268" t="s">
        <v>1054</v>
      </c>
      <c r="C268" t="s">
        <v>142</v>
      </c>
      <c r="D268" t="s">
        <v>87</v>
      </c>
      <c r="E268">
        <v>1</v>
      </c>
      <c r="F268" t="s">
        <v>46</v>
      </c>
      <c r="G268" t="s">
        <v>46</v>
      </c>
      <c r="H268" t="s">
        <v>65</v>
      </c>
      <c r="I268" t="s">
        <v>339</v>
      </c>
    </row>
    <row r="269" spans="1:9">
      <c r="A269" t="s">
        <v>788</v>
      </c>
      <c r="B269" t="s">
        <v>1055</v>
      </c>
      <c r="C269" t="s">
        <v>75</v>
      </c>
      <c r="D269" t="s">
        <v>402</v>
      </c>
      <c r="E269">
        <v>1</v>
      </c>
      <c r="F269" t="s">
        <v>46</v>
      </c>
      <c r="G269" t="s">
        <v>46</v>
      </c>
      <c r="H269" t="s">
        <v>44</v>
      </c>
      <c r="I269" t="s">
        <v>339</v>
      </c>
    </row>
    <row r="270" spans="1:9">
      <c r="A270" t="s">
        <v>788</v>
      </c>
      <c r="B270" t="s">
        <v>1056</v>
      </c>
      <c r="C270" t="s">
        <v>75</v>
      </c>
      <c r="D270" t="s">
        <v>403</v>
      </c>
      <c r="E270">
        <v>1</v>
      </c>
      <c r="F270" t="s">
        <v>46</v>
      </c>
      <c r="G270" t="s">
        <v>46</v>
      </c>
      <c r="H270" t="s">
        <v>44</v>
      </c>
      <c r="I270" t="s">
        <v>339</v>
      </c>
    </row>
    <row r="271" spans="1:9">
      <c r="A271" t="s">
        <v>788</v>
      </c>
      <c r="B271" t="s">
        <v>1057</v>
      </c>
      <c r="C271" t="s">
        <v>88</v>
      </c>
      <c r="D271" t="s">
        <v>404</v>
      </c>
      <c r="E271">
        <v>1</v>
      </c>
      <c r="F271" t="s">
        <v>46</v>
      </c>
      <c r="G271" t="s">
        <v>46</v>
      </c>
      <c r="H271" t="s">
        <v>65</v>
      </c>
      <c r="I271" t="s">
        <v>339</v>
      </c>
    </row>
    <row r="272" spans="1:9">
      <c r="A272" t="s">
        <v>788</v>
      </c>
      <c r="B272" t="s">
        <v>1058</v>
      </c>
      <c r="C272" t="s">
        <v>195</v>
      </c>
      <c r="D272" t="s">
        <v>405</v>
      </c>
      <c r="E272">
        <v>1</v>
      </c>
      <c r="F272" t="s">
        <v>46</v>
      </c>
      <c r="G272" t="s">
        <v>46</v>
      </c>
      <c r="H272" t="s">
        <v>65</v>
      </c>
      <c r="I272" t="s">
        <v>339</v>
      </c>
    </row>
    <row r="273" spans="1:9">
      <c r="A273" t="s">
        <v>788</v>
      </c>
      <c r="B273" t="s">
        <v>1059</v>
      </c>
      <c r="C273" t="s">
        <v>75</v>
      </c>
      <c r="D273" t="s">
        <v>406</v>
      </c>
      <c r="E273">
        <v>1</v>
      </c>
      <c r="F273" t="s">
        <v>46</v>
      </c>
      <c r="G273" t="s">
        <v>46</v>
      </c>
      <c r="H273" t="s">
        <v>44</v>
      </c>
      <c r="I273" t="s">
        <v>339</v>
      </c>
    </row>
    <row r="274" spans="1:9">
      <c r="A274" t="s">
        <v>788</v>
      </c>
      <c r="B274" t="s">
        <v>1060</v>
      </c>
      <c r="C274" t="s">
        <v>75</v>
      </c>
      <c r="D274" t="s">
        <v>407</v>
      </c>
      <c r="E274">
        <v>1</v>
      </c>
      <c r="F274" t="s">
        <v>46</v>
      </c>
      <c r="G274" t="s">
        <v>46</v>
      </c>
      <c r="H274" t="s">
        <v>44</v>
      </c>
      <c r="I274" t="s">
        <v>339</v>
      </c>
    </row>
    <row r="275" spans="1:9">
      <c r="A275" t="s">
        <v>788</v>
      </c>
      <c r="B275" t="s">
        <v>1061</v>
      </c>
      <c r="C275" t="s">
        <v>160</v>
      </c>
      <c r="D275" t="s">
        <v>408</v>
      </c>
      <c r="E275">
        <v>1</v>
      </c>
      <c r="F275" t="s">
        <v>46</v>
      </c>
      <c r="G275" t="s">
        <v>46</v>
      </c>
      <c r="H275" t="s">
        <v>65</v>
      </c>
      <c r="I275" t="s">
        <v>339</v>
      </c>
    </row>
    <row r="276" spans="1:9">
      <c r="A276" t="s">
        <v>788</v>
      </c>
      <c r="B276" t="s">
        <v>1062</v>
      </c>
      <c r="C276" t="s">
        <v>85</v>
      </c>
      <c r="D276" t="s">
        <v>409</v>
      </c>
      <c r="E276">
        <v>1</v>
      </c>
      <c r="F276" t="s">
        <v>46</v>
      </c>
      <c r="G276" t="s">
        <v>46</v>
      </c>
      <c r="H276" t="s">
        <v>65</v>
      </c>
      <c r="I276" t="s">
        <v>339</v>
      </c>
    </row>
    <row r="277" spans="1:9">
      <c r="A277" t="s">
        <v>788</v>
      </c>
      <c r="B277" t="s">
        <v>1063</v>
      </c>
      <c r="C277" t="s">
        <v>67</v>
      </c>
      <c r="D277" t="s">
        <v>410</v>
      </c>
      <c r="E277">
        <v>1</v>
      </c>
      <c r="F277" t="s">
        <v>46</v>
      </c>
      <c r="G277" t="s">
        <v>46</v>
      </c>
      <c r="H277" t="s">
        <v>65</v>
      </c>
      <c r="I277" t="s">
        <v>55</v>
      </c>
    </row>
    <row r="278" spans="1:9">
      <c r="A278" t="s">
        <v>788</v>
      </c>
      <c r="B278" t="s">
        <v>1064</v>
      </c>
      <c r="C278" t="s">
        <v>88</v>
      </c>
      <c r="D278" t="s">
        <v>411</v>
      </c>
      <c r="E278">
        <v>1</v>
      </c>
      <c r="F278" t="s">
        <v>46</v>
      </c>
      <c r="G278" t="s">
        <v>46</v>
      </c>
      <c r="H278" t="s">
        <v>65</v>
      </c>
      <c r="I278" t="s">
        <v>339</v>
      </c>
    </row>
    <row r="279" spans="1:9">
      <c r="A279" t="s">
        <v>788</v>
      </c>
      <c r="B279" t="s">
        <v>1065</v>
      </c>
      <c r="D279" t="s">
        <v>412</v>
      </c>
      <c r="E279">
        <v>1</v>
      </c>
      <c r="F279" t="s">
        <v>42</v>
      </c>
      <c r="G279" t="s">
        <v>42</v>
      </c>
      <c r="H279" t="s">
        <v>42</v>
      </c>
      <c r="I279" t="s">
        <v>229</v>
      </c>
    </row>
    <row r="280" spans="1:9">
      <c r="A280" t="s">
        <v>788</v>
      </c>
      <c r="B280" t="s">
        <v>1066</v>
      </c>
      <c r="C280" t="s">
        <v>265</v>
      </c>
      <c r="D280" t="s">
        <v>413</v>
      </c>
      <c r="E280">
        <v>1</v>
      </c>
      <c r="F280" t="s">
        <v>46</v>
      </c>
      <c r="G280" t="s">
        <v>46</v>
      </c>
      <c r="H280" t="s">
        <v>266</v>
      </c>
      <c r="I280" t="s">
        <v>414</v>
      </c>
    </row>
    <row r="281" spans="1:9">
      <c r="A281" t="s">
        <v>788</v>
      </c>
      <c r="B281" t="s">
        <v>1067</v>
      </c>
      <c r="C281" t="s">
        <v>63</v>
      </c>
      <c r="D281" t="s">
        <v>415</v>
      </c>
      <c r="E281">
        <v>1</v>
      </c>
      <c r="F281" t="s">
        <v>46</v>
      </c>
      <c r="G281" t="s">
        <v>46</v>
      </c>
      <c r="H281" t="s">
        <v>40</v>
      </c>
      <c r="I281" t="s">
        <v>383</v>
      </c>
    </row>
    <row r="282" spans="1:9">
      <c r="A282" t="s">
        <v>788</v>
      </c>
      <c r="B282" t="s">
        <v>1068</v>
      </c>
      <c r="C282" t="s">
        <v>265</v>
      </c>
      <c r="D282" t="s">
        <v>416</v>
      </c>
      <c r="E282">
        <v>1</v>
      </c>
      <c r="F282" t="s">
        <v>46</v>
      </c>
      <c r="G282" t="s">
        <v>46</v>
      </c>
      <c r="H282" t="s">
        <v>266</v>
      </c>
      <c r="I282" t="s">
        <v>414</v>
      </c>
    </row>
    <row r="283" spans="1:9">
      <c r="A283" t="s">
        <v>788</v>
      </c>
      <c r="B283" t="s">
        <v>1069</v>
      </c>
      <c r="C283" t="s">
        <v>89</v>
      </c>
      <c r="D283" t="s">
        <v>417</v>
      </c>
      <c r="E283">
        <v>1</v>
      </c>
      <c r="F283" t="s">
        <v>46</v>
      </c>
      <c r="G283" t="s">
        <v>46</v>
      </c>
      <c r="H283" t="s">
        <v>65</v>
      </c>
      <c r="I283" t="s">
        <v>339</v>
      </c>
    </row>
    <row r="284" spans="1:9">
      <c r="A284" t="s">
        <v>788</v>
      </c>
      <c r="B284" t="s">
        <v>1070</v>
      </c>
      <c r="C284" t="s">
        <v>44</v>
      </c>
      <c r="D284" t="s">
        <v>418</v>
      </c>
      <c r="E284">
        <v>1</v>
      </c>
      <c r="F284" t="s">
        <v>46</v>
      </c>
      <c r="G284" t="s">
        <v>46</v>
      </c>
      <c r="H284" t="s">
        <v>44</v>
      </c>
      <c r="I284" t="s">
        <v>419</v>
      </c>
    </row>
    <row r="285" spans="1:9">
      <c r="A285" t="s">
        <v>788</v>
      </c>
      <c r="B285" t="s">
        <v>1071</v>
      </c>
      <c r="C285" t="s">
        <v>265</v>
      </c>
      <c r="D285" t="s">
        <v>420</v>
      </c>
      <c r="E285">
        <v>1</v>
      </c>
      <c r="F285" t="s">
        <v>46</v>
      </c>
      <c r="G285" t="s">
        <v>46</v>
      </c>
      <c r="H285" t="s">
        <v>266</v>
      </c>
      <c r="I285" t="s">
        <v>383</v>
      </c>
    </row>
    <row r="286" spans="1:9">
      <c r="A286" t="s">
        <v>788</v>
      </c>
      <c r="B286" t="s">
        <v>1072</v>
      </c>
      <c r="C286" t="s">
        <v>69</v>
      </c>
      <c r="D286" t="s">
        <v>87</v>
      </c>
      <c r="E286">
        <v>1</v>
      </c>
      <c r="F286" t="s">
        <v>46</v>
      </c>
      <c r="G286" t="s">
        <v>70</v>
      </c>
      <c r="H286" t="s">
        <v>69</v>
      </c>
      <c r="I286" t="s">
        <v>82</v>
      </c>
    </row>
    <row r="287" spans="1:9">
      <c r="A287" t="s">
        <v>788</v>
      </c>
      <c r="B287" t="s">
        <v>1073</v>
      </c>
      <c r="D287" t="s">
        <v>421</v>
      </c>
      <c r="E287">
        <v>1</v>
      </c>
      <c r="F287" t="s">
        <v>49</v>
      </c>
      <c r="G287" t="s">
        <v>280</v>
      </c>
      <c r="H287" t="s">
        <v>280</v>
      </c>
      <c r="I287" t="s">
        <v>301</v>
      </c>
    </row>
    <row r="288" spans="1:9">
      <c r="A288" t="s">
        <v>788</v>
      </c>
      <c r="B288" t="s">
        <v>1074</v>
      </c>
      <c r="C288" t="s">
        <v>69</v>
      </c>
      <c r="D288" t="s">
        <v>422</v>
      </c>
      <c r="E288">
        <v>1</v>
      </c>
      <c r="F288" t="s">
        <v>46</v>
      </c>
      <c r="G288" t="s">
        <v>70</v>
      </c>
      <c r="H288" t="s">
        <v>69</v>
      </c>
      <c r="I288" t="s">
        <v>82</v>
      </c>
    </row>
    <row r="289" spans="1:9">
      <c r="A289" t="s">
        <v>788</v>
      </c>
      <c r="B289" t="s">
        <v>1075</v>
      </c>
      <c r="D289" t="s">
        <v>423</v>
      </c>
      <c r="E289">
        <v>1</v>
      </c>
      <c r="F289" t="s">
        <v>46</v>
      </c>
      <c r="G289" t="s">
        <v>46</v>
      </c>
      <c r="H289" t="s">
        <v>211</v>
      </c>
      <c r="I289" t="s">
        <v>212</v>
      </c>
    </row>
    <row r="290" spans="1:9">
      <c r="A290" t="s">
        <v>788</v>
      </c>
      <c r="B290" t="s">
        <v>1076</v>
      </c>
      <c r="C290" t="s">
        <v>44</v>
      </c>
      <c r="D290" t="s">
        <v>424</v>
      </c>
      <c r="E290">
        <v>1</v>
      </c>
      <c r="F290" t="s">
        <v>46</v>
      </c>
      <c r="G290" t="s">
        <v>46</v>
      </c>
      <c r="H290" t="s">
        <v>44</v>
      </c>
      <c r="I290" t="s">
        <v>425</v>
      </c>
    </row>
    <row r="291" spans="1:9">
      <c r="A291" t="s">
        <v>788</v>
      </c>
      <c r="B291" t="s">
        <v>1077</v>
      </c>
      <c r="C291" t="s">
        <v>265</v>
      </c>
      <c r="D291" t="s">
        <v>426</v>
      </c>
      <c r="E291">
        <v>1</v>
      </c>
      <c r="F291" t="s">
        <v>46</v>
      </c>
      <c r="G291" t="s">
        <v>46</v>
      </c>
      <c r="H291" t="s">
        <v>266</v>
      </c>
      <c r="I291" t="s">
        <v>427</v>
      </c>
    </row>
    <row r="292" spans="1:9">
      <c r="A292" t="s">
        <v>788</v>
      </c>
      <c r="B292" t="s">
        <v>1078</v>
      </c>
      <c r="C292" t="s">
        <v>75</v>
      </c>
      <c r="D292" t="s">
        <v>144</v>
      </c>
      <c r="E292">
        <v>1</v>
      </c>
      <c r="F292" t="s">
        <v>46</v>
      </c>
      <c r="G292" t="s">
        <v>46</v>
      </c>
      <c r="H292" t="s">
        <v>44</v>
      </c>
      <c r="I292" t="s">
        <v>339</v>
      </c>
    </row>
    <row r="293" spans="1:9">
      <c r="A293" t="s">
        <v>788</v>
      </c>
      <c r="B293" t="s">
        <v>1079</v>
      </c>
      <c r="C293" t="s">
        <v>85</v>
      </c>
      <c r="D293" t="s">
        <v>428</v>
      </c>
      <c r="E293">
        <v>1</v>
      </c>
      <c r="F293" t="s">
        <v>46</v>
      </c>
      <c r="G293" t="s">
        <v>46</v>
      </c>
      <c r="H293" t="s">
        <v>65</v>
      </c>
      <c r="I293" t="s">
        <v>339</v>
      </c>
    </row>
    <row r="294" spans="1:9">
      <c r="A294" t="s">
        <v>788</v>
      </c>
      <c r="B294" t="s">
        <v>1080</v>
      </c>
      <c r="C294" t="s">
        <v>67</v>
      </c>
      <c r="D294" t="s">
        <v>429</v>
      </c>
      <c r="E294">
        <v>1</v>
      </c>
      <c r="F294" t="s">
        <v>46</v>
      </c>
      <c r="G294" t="s">
        <v>46</v>
      </c>
      <c r="H294" t="s">
        <v>65</v>
      </c>
      <c r="I294" t="s">
        <v>339</v>
      </c>
    </row>
    <row r="295" spans="1:9">
      <c r="A295" t="s">
        <v>788</v>
      </c>
      <c r="B295" t="s">
        <v>1081</v>
      </c>
      <c r="C295" t="s">
        <v>79</v>
      </c>
      <c r="D295" t="s">
        <v>430</v>
      </c>
      <c r="E295">
        <v>1</v>
      </c>
      <c r="F295" t="s">
        <v>46</v>
      </c>
      <c r="G295" t="s">
        <v>46</v>
      </c>
      <c r="H295" t="s">
        <v>65</v>
      </c>
      <c r="I295" t="s">
        <v>339</v>
      </c>
    </row>
    <row r="296" spans="1:9">
      <c r="A296" t="s">
        <v>788</v>
      </c>
      <c r="B296" t="s">
        <v>1082</v>
      </c>
      <c r="C296" t="s">
        <v>160</v>
      </c>
      <c r="D296" t="s">
        <v>196</v>
      </c>
      <c r="E296">
        <v>1</v>
      </c>
      <c r="F296" t="s">
        <v>46</v>
      </c>
      <c r="G296" t="s">
        <v>46</v>
      </c>
      <c r="H296" t="s">
        <v>65</v>
      </c>
      <c r="I296" t="s">
        <v>339</v>
      </c>
    </row>
    <row r="297" spans="1:9">
      <c r="A297" t="s">
        <v>788</v>
      </c>
      <c r="B297" t="s">
        <v>1083</v>
      </c>
      <c r="C297" t="s">
        <v>195</v>
      </c>
      <c r="D297" t="s">
        <v>431</v>
      </c>
      <c r="E297">
        <v>1</v>
      </c>
      <c r="F297" t="s">
        <v>46</v>
      </c>
      <c r="G297" t="s">
        <v>46</v>
      </c>
      <c r="H297" t="s">
        <v>65</v>
      </c>
      <c r="I297" t="s">
        <v>339</v>
      </c>
    </row>
    <row r="298" spans="1:9">
      <c r="A298" t="s">
        <v>788</v>
      </c>
      <c r="B298" t="s">
        <v>1084</v>
      </c>
      <c r="C298" t="s">
        <v>85</v>
      </c>
      <c r="D298" t="s">
        <v>432</v>
      </c>
      <c r="E298">
        <v>1</v>
      </c>
      <c r="F298" t="s">
        <v>46</v>
      </c>
      <c r="G298" t="s">
        <v>46</v>
      </c>
      <c r="H298" t="s">
        <v>65</v>
      </c>
      <c r="I298" t="s">
        <v>339</v>
      </c>
    </row>
    <row r="299" spans="1:9">
      <c r="A299" t="s">
        <v>788</v>
      </c>
      <c r="B299" t="s">
        <v>1085</v>
      </c>
      <c r="C299" t="s">
        <v>142</v>
      </c>
      <c r="D299" t="s">
        <v>433</v>
      </c>
      <c r="E299">
        <v>1</v>
      </c>
      <c r="F299" t="s">
        <v>46</v>
      </c>
      <c r="G299" t="s">
        <v>46</v>
      </c>
      <c r="H299" t="s">
        <v>65</v>
      </c>
      <c r="I299" t="s">
        <v>339</v>
      </c>
    </row>
    <row r="300" spans="1:9">
      <c r="A300" t="s">
        <v>788</v>
      </c>
      <c r="B300" t="s">
        <v>1086</v>
      </c>
      <c r="C300" t="s">
        <v>79</v>
      </c>
      <c r="D300" t="s">
        <v>434</v>
      </c>
      <c r="E300">
        <v>1</v>
      </c>
      <c r="F300" t="s">
        <v>46</v>
      </c>
      <c r="G300" t="s">
        <v>46</v>
      </c>
      <c r="H300" t="s">
        <v>65</v>
      </c>
      <c r="I300" t="s">
        <v>339</v>
      </c>
    </row>
    <row r="301" spans="1:9">
      <c r="A301" t="s">
        <v>788</v>
      </c>
      <c r="B301" t="s">
        <v>1087</v>
      </c>
      <c r="C301" t="s">
        <v>85</v>
      </c>
      <c r="D301" t="s">
        <v>435</v>
      </c>
      <c r="E301">
        <v>1</v>
      </c>
      <c r="F301" t="s">
        <v>46</v>
      </c>
      <c r="G301" t="s">
        <v>46</v>
      </c>
      <c r="H301" t="s">
        <v>65</v>
      </c>
      <c r="I301" t="s">
        <v>339</v>
      </c>
    </row>
    <row r="302" spans="1:9">
      <c r="A302" t="s">
        <v>788</v>
      </c>
      <c r="B302" t="s">
        <v>1088</v>
      </c>
      <c r="D302" t="s">
        <v>436</v>
      </c>
      <c r="E302">
        <v>1</v>
      </c>
      <c r="F302" t="s">
        <v>154</v>
      </c>
      <c r="G302" t="s">
        <v>154</v>
      </c>
      <c r="H302" t="s">
        <v>155</v>
      </c>
      <c r="I302" t="s">
        <v>225</v>
      </c>
    </row>
    <row r="303" spans="1:9">
      <c r="A303" t="s">
        <v>788</v>
      </c>
      <c r="B303" t="s">
        <v>1089</v>
      </c>
      <c r="D303" t="s">
        <v>437</v>
      </c>
      <c r="E303">
        <v>1</v>
      </c>
      <c r="F303" t="s">
        <v>154</v>
      </c>
      <c r="G303" t="s">
        <v>154</v>
      </c>
      <c r="H303" t="s">
        <v>155</v>
      </c>
      <c r="I303" t="s">
        <v>225</v>
      </c>
    </row>
    <row r="304" spans="1:9">
      <c r="A304" t="s">
        <v>788</v>
      </c>
      <c r="B304" t="s">
        <v>1090</v>
      </c>
      <c r="D304" t="s">
        <v>438</v>
      </c>
      <c r="E304">
        <v>1</v>
      </c>
      <c r="F304" t="s">
        <v>46</v>
      </c>
      <c r="G304" t="s">
        <v>46</v>
      </c>
      <c r="H304" t="s">
        <v>211</v>
      </c>
      <c r="I304" t="s">
        <v>212</v>
      </c>
    </row>
    <row r="305" spans="1:9">
      <c r="A305" t="s">
        <v>788</v>
      </c>
      <c r="B305" t="s">
        <v>1091</v>
      </c>
      <c r="C305" t="s">
        <v>160</v>
      </c>
      <c r="D305" t="s">
        <v>439</v>
      </c>
      <c r="E305">
        <v>1</v>
      </c>
      <c r="F305" t="s">
        <v>46</v>
      </c>
      <c r="G305" t="s">
        <v>46</v>
      </c>
      <c r="H305" t="s">
        <v>65</v>
      </c>
      <c r="I305" t="s">
        <v>55</v>
      </c>
    </row>
    <row r="306" spans="1:9">
      <c r="A306" t="s">
        <v>788</v>
      </c>
      <c r="B306" t="s">
        <v>1092</v>
      </c>
      <c r="C306" t="s">
        <v>79</v>
      </c>
      <c r="D306" t="s">
        <v>440</v>
      </c>
      <c r="E306">
        <v>1</v>
      </c>
      <c r="F306" t="s">
        <v>46</v>
      </c>
      <c r="G306" t="s">
        <v>46</v>
      </c>
      <c r="H306" t="s">
        <v>65</v>
      </c>
      <c r="I306" t="s">
        <v>339</v>
      </c>
    </row>
    <row r="307" spans="1:9">
      <c r="A307" t="s">
        <v>788</v>
      </c>
      <c r="B307" t="s">
        <v>1093</v>
      </c>
      <c r="C307" t="s">
        <v>79</v>
      </c>
      <c r="D307" t="s">
        <v>441</v>
      </c>
      <c r="E307">
        <v>1</v>
      </c>
      <c r="F307" t="s">
        <v>46</v>
      </c>
      <c r="G307" t="s">
        <v>46</v>
      </c>
      <c r="H307" t="s">
        <v>65</v>
      </c>
      <c r="I307" t="s">
        <v>339</v>
      </c>
    </row>
    <row r="308" spans="1:9">
      <c r="A308" t="s">
        <v>788</v>
      </c>
      <c r="B308" t="s">
        <v>1094</v>
      </c>
      <c r="C308" t="s">
        <v>79</v>
      </c>
      <c r="D308" t="s">
        <v>442</v>
      </c>
      <c r="E308">
        <v>1</v>
      </c>
      <c r="F308" t="s">
        <v>46</v>
      </c>
      <c r="G308" t="s">
        <v>46</v>
      </c>
      <c r="H308" t="s">
        <v>65</v>
      </c>
      <c r="I308" t="s">
        <v>339</v>
      </c>
    </row>
    <row r="309" spans="1:9">
      <c r="A309" t="s">
        <v>788</v>
      </c>
      <c r="B309" t="s">
        <v>1095</v>
      </c>
      <c r="C309" t="s">
        <v>79</v>
      </c>
      <c r="D309" t="s">
        <v>443</v>
      </c>
      <c r="E309">
        <v>1</v>
      </c>
      <c r="F309" t="s">
        <v>46</v>
      </c>
      <c r="G309" t="s">
        <v>46</v>
      </c>
      <c r="H309" t="s">
        <v>65</v>
      </c>
      <c r="I309" t="s">
        <v>339</v>
      </c>
    </row>
    <row r="310" spans="1:9">
      <c r="A310" t="s">
        <v>788</v>
      </c>
      <c r="B310" t="s">
        <v>1096</v>
      </c>
      <c r="C310" t="s">
        <v>69</v>
      </c>
      <c r="D310" t="s">
        <v>444</v>
      </c>
      <c r="E310">
        <v>1</v>
      </c>
      <c r="F310" t="s">
        <v>46</v>
      </c>
      <c r="G310" t="s">
        <v>70</v>
      </c>
      <c r="H310" t="s">
        <v>69</v>
      </c>
      <c r="I310" t="s">
        <v>82</v>
      </c>
    </row>
    <row r="311" spans="1:9">
      <c r="A311" t="s">
        <v>788</v>
      </c>
      <c r="B311" t="s">
        <v>1097</v>
      </c>
      <c r="D311" t="s">
        <v>445</v>
      </c>
      <c r="E311">
        <v>1</v>
      </c>
      <c r="F311" t="s">
        <v>46</v>
      </c>
      <c r="G311" t="s">
        <v>46</v>
      </c>
      <c r="H311" t="s">
        <v>211</v>
      </c>
      <c r="I311" t="s">
        <v>212</v>
      </c>
    </row>
    <row r="312" spans="1:9">
      <c r="A312" t="s">
        <v>788</v>
      </c>
      <c r="B312" t="s">
        <v>1098</v>
      </c>
      <c r="D312" t="s">
        <v>446</v>
      </c>
      <c r="E312">
        <v>1</v>
      </c>
      <c r="F312" t="s">
        <v>46</v>
      </c>
      <c r="G312" t="s">
        <v>46</v>
      </c>
      <c r="H312" t="s">
        <v>211</v>
      </c>
      <c r="I312" t="s">
        <v>256</v>
      </c>
    </row>
    <row r="313" spans="1:9">
      <c r="A313" t="s">
        <v>788</v>
      </c>
      <c r="B313" t="s">
        <v>1099</v>
      </c>
      <c r="C313" t="s">
        <v>79</v>
      </c>
      <c r="D313" t="s">
        <v>447</v>
      </c>
      <c r="E313">
        <v>1</v>
      </c>
      <c r="F313" t="s">
        <v>46</v>
      </c>
      <c r="G313" t="s">
        <v>46</v>
      </c>
      <c r="H313" t="s">
        <v>65</v>
      </c>
      <c r="I313" t="s">
        <v>339</v>
      </c>
    </row>
    <row r="314" spans="1:9">
      <c r="A314" t="s">
        <v>788</v>
      </c>
      <c r="B314" t="s">
        <v>1100</v>
      </c>
      <c r="C314" t="s">
        <v>79</v>
      </c>
      <c r="D314" t="s">
        <v>449</v>
      </c>
      <c r="E314">
        <v>1</v>
      </c>
      <c r="F314" t="s">
        <v>46</v>
      </c>
      <c r="G314" t="s">
        <v>46</v>
      </c>
      <c r="H314" t="s">
        <v>65</v>
      </c>
      <c r="I314" t="s">
        <v>339</v>
      </c>
    </row>
    <row r="315" spans="1:9">
      <c r="A315" t="s">
        <v>788</v>
      </c>
      <c r="B315" t="s">
        <v>1101</v>
      </c>
      <c r="C315" t="s">
        <v>79</v>
      </c>
      <c r="D315" t="s">
        <v>450</v>
      </c>
      <c r="E315">
        <v>1</v>
      </c>
      <c r="F315" t="s">
        <v>46</v>
      </c>
      <c r="G315" t="s">
        <v>46</v>
      </c>
      <c r="H315" t="s">
        <v>65</v>
      </c>
      <c r="I315" t="s">
        <v>339</v>
      </c>
    </row>
    <row r="316" spans="1:9">
      <c r="A316" t="s">
        <v>788</v>
      </c>
      <c r="B316" t="s">
        <v>1102</v>
      </c>
      <c r="C316" t="s">
        <v>75</v>
      </c>
      <c r="D316" t="s">
        <v>451</v>
      </c>
      <c r="E316">
        <v>1</v>
      </c>
      <c r="F316" t="s">
        <v>46</v>
      </c>
      <c r="G316" t="s">
        <v>46</v>
      </c>
      <c r="H316" t="s">
        <v>44</v>
      </c>
      <c r="I316" t="s">
        <v>339</v>
      </c>
    </row>
    <row r="317" spans="1:9">
      <c r="A317" t="s">
        <v>788</v>
      </c>
      <c r="B317" t="s">
        <v>1103</v>
      </c>
      <c r="C317" t="s">
        <v>63</v>
      </c>
      <c r="D317" t="s">
        <v>452</v>
      </c>
      <c r="E317">
        <v>1</v>
      </c>
      <c r="F317" t="s">
        <v>46</v>
      </c>
      <c r="G317" t="s">
        <v>46</v>
      </c>
      <c r="H317" t="s">
        <v>65</v>
      </c>
      <c r="I317" t="s">
        <v>339</v>
      </c>
    </row>
    <row r="318" spans="1:9">
      <c r="A318" t="s">
        <v>788</v>
      </c>
      <c r="B318" t="s">
        <v>1104</v>
      </c>
      <c r="C318" t="s">
        <v>160</v>
      </c>
      <c r="D318" t="s">
        <v>453</v>
      </c>
      <c r="E318">
        <v>1</v>
      </c>
      <c r="F318" t="s">
        <v>46</v>
      </c>
      <c r="G318" t="s">
        <v>46</v>
      </c>
      <c r="H318" t="s">
        <v>65</v>
      </c>
      <c r="I318" t="s">
        <v>339</v>
      </c>
    </row>
    <row r="319" spans="1:9">
      <c r="A319" t="s">
        <v>788</v>
      </c>
      <c r="B319" t="s">
        <v>1105</v>
      </c>
      <c r="C319" t="s">
        <v>160</v>
      </c>
      <c r="D319" t="s">
        <v>454</v>
      </c>
      <c r="E319">
        <v>1</v>
      </c>
      <c r="F319" t="s">
        <v>46</v>
      </c>
      <c r="G319" t="s">
        <v>46</v>
      </c>
      <c r="H319" t="s">
        <v>65</v>
      </c>
      <c r="I319" t="s">
        <v>339</v>
      </c>
    </row>
    <row r="320" spans="1:9">
      <c r="A320" t="s">
        <v>788</v>
      </c>
      <c r="B320" t="s">
        <v>1106</v>
      </c>
      <c r="D320" t="s">
        <v>455</v>
      </c>
      <c r="E320">
        <v>1</v>
      </c>
      <c r="F320" t="s">
        <v>42</v>
      </c>
      <c r="G320" t="s">
        <v>42</v>
      </c>
      <c r="H320" t="s">
        <v>42</v>
      </c>
      <c r="I320" t="s">
        <v>260</v>
      </c>
    </row>
    <row r="321" spans="1:9">
      <c r="A321" t="s">
        <v>788</v>
      </c>
      <c r="B321" t="s">
        <v>1107</v>
      </c>
      <c r="C321" t="s">
        <v>79</v>
      </c>
      <c r="D321" t="s">
        <v>456</v>
      </c>
      <c r="E321">
        <v>1</v>
      </c>
      <c r="F321" t="s">
        <v>46</v>
      </c>
      <c r="G321" t="s">
        <v>46</v>
      </c>
      <c r="H321" t="s">
        <v>65</v>
      </c>
      <c r="I321" t="s">
        <v>339</v>
      </c>
    </row>
    <row r="322" spans="1:9">
      <c r="A322" t="s">
        <v>788</v>
      </c>
      <c r="B322" t="s">
        <v>1108</v>
      </c>
      <c r="D322" t="s">
        <v>457</v>
      </c>
      <c r="E322">
        <v>1</v>
      </c>
      <c r="F322" t="s">
        <v>49</v>
      </c>
      <c r="G322" t="s">
        <v>49</v>
      </c>
      <c r="H322" t="s">
        <v>49</v>
      </c>
      <c r="I322" t="s">
        <v>458</v>
      </c>
    </row>
    <row r="323" spans="1:9">
      <c r="A323" t="s">
        <v>788</v>
      </c>
      <c r="B323" t="s">
        <v>1109</v>
      </c>
      <c r="C323" t="s">
        <v>79</v>
      </c>
      <c r="D323" t="s">
        <v>460</v>
      </c>
      <c r="E323">
        <v>1</v>
      </c>
      <c r="F323" t="s">
        <v>46</v>
      </c>
      <c r="G323" t="s">
        <v>46</v>
      </c>
      <c r="H323" t="s">
        <v>65</v>
      </c>
      <c r="I323" t="s">
        <v>339</v>
      </c>
    </row>
    <row r="324" spans="1:9">
      <c r="A324" t="s">
        <v>788</v>
      </c>
      <c r="B324" t="s">
        <v>1110</v>
      </c>
      <c r="C324" t="s">
        <v>63</v>
      </c>
      <c r="D324" t="s">
        <v>461</v>
      </c>
      <c r="E324">
        <v>1</v>
      </c>
      <c r="F324" t="s">
        <v>46</v>
      </c>
      <c r="G324" t="s">
        <v>46</v>
      </c>
      <c r="H324" t="s">
        <v>65</v>
      </c>
      <c r="I324" t="s">
        <v>339</v>
      </c>
    </row>
    <row r="325" spans="1:9">
      <c r="A325" t="s">
        <v>788</v>
      </c>
      <c r="B325" t="s">
        <v>1111</v>
      </c>
      <c r="C325" t="s">
        <v>195</v>
      </c>
      <c r="D325" t="s">
        <v>462</v>
      </c>
      <c r="E325">
        <v>1</v>
      </c>
      <c r="F325" t="s">
        <v>46</v>
      </c>
      <c r="G325" t="s">
        <v>46</v>
      </c>
      <c r="H325" t="s">
        <v>65</v>
      </c>
      <c r="I325" t="s">
        <v>339</v>
      </c>
    </row>
    <row r="326" spans="1:9">
      <c r="A326" t="s">
        <v>788</v>
      </c>
      <c r="B326" t="s">
        <v>1112</v>
      </c>
      <c r="C326" t="s">
        <v>79</v>
      </c>
      <c r="D326" t="s">
        <v>463</v>
      </c>
      <c r="E326">
        <v>1</v>
      </c>
      <c r="F326" t="s">
        <v>46</v>
      </c>
      <c r="G326" t="s">
        <v>46</v>
      </c>
      <c r="H326" t="s">
        <v>65</v>
      </c>
      <c r="I326" t="s">
        <v>339</v>
      </c>
    </row>
    <row r="327" spans="1:9">
      <c r="A327" t="s">
        <v>788</v>
      </c>
      <c r="B327" t="s">
        <v>1113</v>
      </c>
      <c r="C327" t="s">
        <v>142</v>
      </c>
      <c r="D327" t="s">
        <v>464</v>
      </c>
      <c r="E327">
        <v>1</v>
      </c>
      <c r="F327" t="s">
        <v>46</v>
      </c>
      <c r="G327" t="s">
        <v>46</v>
      </c>
      <c r="H327" t="s">
        <v>65</v>
      </c>
      <c r="I327" t="s">
        <v>339</v>
      </c>
    </row>
    <row r="328" spans="1:9">
      <c r="A328" t="s">
        <v>788</v>
      </c>
      <c r="B328" t="s">
        <v>1114</v>
      </c>
      <c r="C328" t="s">
        <v>63</v>
      </c>
      <c r="D328" t="s">
        <v>465</v>
      </c>
      <c r="E328">
        <v>1</v>
      </c>
      <c r="F328" t="s">
        <v>46</v>
      </c>
      <c r="G328" t="s">
        <v>46</v>
      </c>
      <c r="H328" t="s">
        <v>65</v>
      </c>
      <c r="I328" t="s">
        <v>339</v>
      </c>
    </row>
    <row r="329" spans="1:9">
      <c r="A329" t="s">
        <v>788</v>
      </c>
      <c r="B329" t="s">
        <v>1115</v>
      </c>
      <c r="C329" t="s">
        <v>63</v>
      </c>
      <c r="D329" t="s">
        <v>466</v>
      </c>
      <c r="E329">
        <v>1</v>
      </c>
      <c r="F329" t="s">
        <v>46</v>
      </c>
      <c r="G329" t="s">
        <v>46</v>
      </c>
      <c r="H329" t="s">
        <v>65</v>
      </c>
      <c r="I329" t="s">
        <v>339</v>
      </c>
    </row>
    <row r="330" spans="1:9">
      <c r="A330" t="s">
        <v>788</v>
      </c>
      <c r="B330" t="s">
        <v>1116</v>
      </c>
      <c r="C330" t="s">
        <v>67</v>
      </c>
      <c r="D330" t="s">
        <v>467</v>
      </c>
      <c r="E330">
        <v>1</v>
      </c>
      <c r="F330" t="s">
        <v>46</v>
      </c>
      <c r="G330" t="s">
        <v>46</v>
      </c>
      <c r="H330" t="s">
        <v>65</v>
      </c>
      <c r="I330" t="s">
        <v>339</v>
      </c>
    </row>
    <row r="331" spans="1:9">
      <c r="A331" t="s">
        <v>788</v>
      </c>
      <c r="B331" t="s">
        <v>1117</v>
      </c>
      <c r="C331" t="s">
        <v>195</v>
      </c>
      <c r="D331" t="s">
        <v>468</v>
      </c>
      <c r="E331">
        <v>1</v>
      </c>
      <c r="F331" t="s">
        <v>46</v>
      </c>
      <c r="G331" t="s">
        <v>46</v>
      </c>
      <c r="H331" t="s">
        <v>65</v>
      </c>
      <c r="I331" t="s">
        <v>339</v>
      </c>
    </row>
    <row r="332" spans="1:9">
      <c r="A332" t="s">
        <v>788</v>
      </c>
      <c r="B332" t="s">
        <v>1118</v>
      </c>
      <c r="C332" t="s">
        <v>79</v>
      </c>
      <c r="D332" t="s">
        <v>469</v>
      </c>
      <c r="E332">
        <v>1</v>
      </c>
      <c r="F332" t="s">
        <v>46</v>
      </c>
      <c r="G332" t="s">
        <v>46</v>
      </c>
      <c r="H332" t="s">
        <v>65</v>
      </c>
      <c r="I332" t="s">
        <v>339</v>
      </c>
    </row>
    <row r="333" spans="1:9">
      <c r="A333" t="s">
        <v>788</v>
      </c>
      <c r="B333" t="s">
        <v>1119</v>
      </c>
      <c r="D333" t="s">
        <v>470</v>
      </c>
      <c r="E333">
        <v>1</v>
      </c>
      <c r="F333" t="s">
        <v>46</v>
      </c>
      <c r="G333" t="s">
        <v>46</v>
      </c>
      <c r="H333" t="s">
        <v>211</v>
      </c>
      <c r="I333" t="s">
        <v>212</v>
      </c>
    </row>
    <row r="334" spans="1:9">
      <c r="A334" t="s">
        <v>788</v>
      </c>
      <c r="B334" t="s">
        <v>1120</v>
      </c>
      <c r="C334" t="s">
        <v>265</v>
      </c>
      <c r="D334" t="s">
        <v>471</v>
      </c>
      <c r="E334">
        <v>1</v>
      </c>
      <c r="F334" t="s">
        <v>46</v>
      </c>
      <c r="G334" t="s">
        <v>46</v>
      </c>
      <c r="H334" t="s">
        <v>266</v>
      </c>
      <c r="I334" t="s">
        <v>383</v>
      </c>
    </row>
    <row r="335" spans="1:9">
      <c r="A335" t="s">
        <v>788</v>
      </c>
      <c r="B335" t="s">
        <v>1121</v>
      </c>
      <c r="C335" t="s">
        <v>142</v>
      </c>
      <c r="D335" t="s">
        <v>472</v>
      </c>
      <c r="E335">
        <v>1</v>
      </c>
      <c r="F335" t="s">
        <v>46</v>
      </c>
      <c r="G335" t="s">
        <v>46</v>
      </c>
      <c r="H335" t="s">
        <v>40</v>
      </c>
      <c r="I335" t="s">
        <v>383</v>
      </c>
    </row>
    <row r="336" spans="1:9">
      <c r="A336" t="s">
        <v>788</v>
      </c>
      <c r="B336" t="s">
        <v>1122</v>
      </c>
      <c r="C336" t="s">
        <v>67</v>
      </c>
      <c r="D336" t="s">
        <v>473</v>
      </c>
      <c r="E336">
        <v>1</v>
      </c>
      <c r="F336" t="s">
        <v>46</v>
      </c>
      <c r="G336" t="s">
        <v>46</v>
      </c>
      <c r="H336" t="s">
        <v>40</v>
      </c>
      <c r="I336" t="s">
        <v>383</v>
      </c>
    </row>
    <row r="337" spans="1:9">
      <c r="A337" t="s">
        <v>788</v>
      </c>
      <c r="B337" t="s">
        <v>1123</v>
      </c>
      <c r="C337" t="s">
        <v>63</v>
      </c>
      <c r="D337" t="s">
        <v>474</v>
      </c>
      <c r="E337">
        <v>1</v>
      </c>
      <c r="F337" t="s">
        <v>46</v>
      </c>
      <c r="G337" t="s">
        <v>46</v>
      </c>
      <c r="H337" t="s">
        <v>40</v>
      </c>
      <c r="I337" t="s">
        <v>383</v>
      </c>
    </row>
    <row r="338" spans="1:9">
      <c r="A338" t="s">
        <v>788</v>
      </c>
      <c r="B338" t="s">
        <v>1124</v>
      </c>
      <c r="D338" t="s">
        <v>476</v>
      </c>
      <c r="E338">
        <v>1</v>
      </c>
      <c r="F338" t="s">
        <v>49</v>
      </c>
      <c r="G338" t="s">
        <v>52</v>
      </c>
      <c r="H338" t="s">
        <v>52</v>
      </c>
      <c r="I338" t="s">
        <v>223</v>
      </c>
    </row>
    <row r="339" spans="1:9">
      <c r="A339" t="s">
        <v>788</v>
      </c>
      <c r="B339" t="s">
        <v>1125</v>
      </c>
      <c r="C339" t="s">
        <v>79</v>
      </c>
      <c r="D339" t="s">
        <v>477</v>
      </c>
      <c r="E339">
        <v>1</v>
      </c>
      <c r="F339" t="s">
        <v>46</v>
      </c>
      <c r="G339" t="s">
        <v>46</v>
      </c>
      <c r="H339" t="s">
        <v>65</v>
      </c>
      <c r="I339" t="s">
        <v>339</v>
      </c>
    </row>
    <row r="340" spans="1:9">
      <c r="A340" t="s">
        <v>788</v>
      </c>
      <c r="B340" t="s">
        <v>1126</v>
      </c>
      <c r="D340" t="s">
        <v>478</v>
      </c>
      <c r="E340">
        <v>1</v>
      </c>
      <c r="F340" t="s">
        <v>46</v>
      </c>
      <c r="G340" t="s">
        <v>116</v>
      </c>
      <c r="H340" t="s">
        <v>117</v>
      </c>
      <c r="I340" t="s">
        <v>151</v>
      </c>
    </row>
    <row r="341" spans="1:9">
      <c r="A341" t="s">
        <v>788</v>
      </c>
      <c r="B341" t="s">
        <v>1127</v>
      </c>
      <c r="C341" t="s">
        <v>79</v>
      </c>
      <c r="D341" t="s">
        <v>479</v>
      </c>
      <c r="E341">
        <v>1</v>
      </c>
      <c r="F341" t="s">
        <v>46</v>
      </c>
      <c r="G341" t="s">
        <v>46</v>
      </c>
      <c r="H341" t="s">
        <v>65</v>
      </c>
      <c r="I341" t="s">
        <v>339</v>
      </c>
    </row>
    <row r="342" spans="1:9">
      <c r="A342" t="s">
        <v>788</v>
      </c>
      <c r="B342" t="s">
        <v>1128</v>
      </c>
      <c r="C342" t="s">
        <v>85</v>
      </c>
      <c r="D342" t="s">
        <v>480</v>
      </c>
      <c r="E342">
        <v>1</v>
      </c>
      <c r="F342" t="s">
        <v>46</v>
      </c>
      <c r="G342" t="s">
        <v>46</v>
      </c>
      <c r="H342" t="s">
        <v>65</v>
      </c>
      <c r="I342" t="s">
        <v>339</v>
      </c>
    </row>
    <row r="343" spans="1:9">
      <c r="A343" t="s">
        <v>788</v>
      </c>
      <c r="B343" t="s">
        <v>1129</v>
      </c>
      <c r="C343" t="s">
        <v>79</v>
      </c>
      <c r="D343" t="s">
        <v>481</v>
      </c>
      <c r="E343">
        <v>1</v>
      </c>
      <c r="F343" t="s">
        <v>46</v>
      </c>
      <c r="G343" t="s">
        <v>46</v>
      </c>
      <c r="H343" t="s">
        <v>65</v>
      </c>
      <c r="I343" t="s">
        <v>339</v>
      </c>
    </row>
    <row r="344" spans="1:9">
      <c r="A344" t="s">
        <v>788</v>
      </c>
      <c r="B344" t="s">
        <v>1130</v>
      </c>
      <c r="C344" t="s">
        <v>160</v>
      </c>
      <c r="D344" t="s">
        <v>482</v>
      </c>
      <c r="E344">
        <v>1</v>
      </c>
      <c r="F344" t="s">
        <v>46</v>
      </c>
      <c r="G344" t="s">
        <v>46</v>
      </c>
      <c r="H344" t="s">
        <v>65</v>
      </c>
      <c r="I344" t="s">
        <v>339</v>
      </c>
    </row>
    <row r="345" spans="1:9">
      <c r="A345" t="s">
        <v>788</v>
      </c>
      <c r="B345" t="s">
        <v>1131</v>
      </c>
      <c r="D345" t="s">
        <v>483</v>
      </c>
      <c r="E345">
        <v>1</v>
      </c>
      <c r="F345" t="s">
        <v>46</v>
      </c>
      <c r="G345" t="s">
        <v>46</v>
      </c>
      <c r="H345" t="s">
        <v>58</v>
      </c>
      <c r="I345" t="s">
        <v>58</v>
      </c>
    </row>
    <row r="346" spans="1:9">
      <c r="A346" t="s">
        <v>788</v>
      </c>
      <c r="B346" t="s">
        <v>1132</v>
      </c>
      <c r="C346" t="s">
        <v>79</v>
      </c>
      <c r="D346" t="s">
        <v>484</v>
      </c>
      <c r="E346">
        <v>1</v>
      </c>
      <c r="F346" t="s">
        <v>46</v>
      </c>
      <c r="G346" t="s">
        <v>46</v>
      </c>
      <c r="H346" t="s">
        <v>40</v>
      </c>
      <c r="I346" t="s">
        <v>383</v>
      </c>
    </row>
    <row r="347" spans="1:9">
      <c r="A347" t="s">
        <v>788</v>
      </c>
      <c r="B347" t="s">
        <v>1133</v>
      </c>
      <c r="D347" t="s">
        <v>485</v>
      </c>
      <c r="E347">
        <v>1</v>
      </c>
      <c r="F347" t="s">
        <v>154</v>
      </c>
      <c r="G347" t="s">
        <v>154</v>
      </c>
      <c r="H347" t="s">
        <v>155</v>
      </c>
      <c r="I347" t="s">
        <v>486</v>
      </c>
    </row>
    <row r="348" spans="1:9">
      <c r="A348" t="s">
        <v>788</v>
      </c>
      <c r="B348" t="s">
        <v>1134</v>
      </c>
      <c r="D348" t="s">
        <v>487</v>
      </c>
      <c r="E348">
        <v>1</v>
      </c>
      <c r="F348" t="s">
        <v>154</v>
      </c>
      <c r="G348" t="s">
        <v>154</v>
      </c>
      <c r="H348" t="s">
        <v>155</v>
      </c>
      <c r="I348" t="s">
        <v>486</v>
      </c>
    </row>
    <row r="349" spans="1:9">
      <c r="A349" t="s">
        <v>788</v>
      </c>
      <c r="B349" t="s">
        <v>1135</v>
      </c>
      <c r="C349" t="s">
        <v>85</v>
      </c>
      <c r="D349" t="s">
        <v>395</v>
      </c>
      <c r="E349">
        <v>1</v>
      </c>
      <c r="F349" t="s">
        <v>46</v>
      </c>
      <c r="G349" t="s">
        <v>46</v>
      </c>
      <c r="H349" t="s">
        <v>65</v>
      </c>
      <c r="I349" t="s">
        <v>339</v>
      </c>
    </row>
    <row r="350" spans="1:9">
      <c r="A350" t="s">
        <v>788</v>
      </c>
      <c r="B350" t="s">
        <v>1136</v>
      </c>
      <c r="C350" t="s">
        <v>67</v>
      </c>
      <c r="D350" t="s">
        <v>309</v>
      </c>
      <c r="E350">
        <v>1</v>
      </c>
      <c r="F350" t="s">
        <v>46</v>
      </c>
      <c r="G350" t="s">
        <v>46</v>
      </c>
      <c r="H350" t="s">
        <v>65</v>
      </c>
      <c r="I350" t="s">
        <v>339</v>
      </c>
    </row>
    <row r="351" spans="1:9">
      <c r="A351" t="s">
        <v>788</v>
      </c>
      <c r="B351" t="s">
        <v>1137</v>
      </c>
      <c r="C351" t="s">
        <v>79</v>
      </c>
      <c r="D351" t="s">
        <v>488</v>
      </c>
      <c r="E351">
        <v>1</v>
      </c>
      <c r="F351" t="s">
        <v>46</v>
      </c>
      <c r="G351" t="s">
        <v>46</v>
      </c>
      <c r="H351" t="s">
        <v>65</v>
      </c>
      <c r="I351" t="s">
        <v>339</v>
      </c>
    </row>
    <row r="352" spans="1:9">
      <c r="A352" t="s">
        <v>788</v>
      </c>
      <c r="B352" t="s">
        <v>1138</v>
      </c>
      <c r="C352" t="s">
        <v>79</v>
      </c>
      <c r="D352" t="s">
        <v>489</v>
      </c>
      <c r="E352">
        <v>1</v>
      </c>
      <c r="F352" t="s">
        <v>46</v>
      </c>
      <c r="G352" t="s">
        <v>46</v>
      </c>
      <c r="H352" t="s">
        <v>65</v>
      </c>
      <c r="I352" t="s">
        <v>339</v>
      </c>
    </row>
    <row r="353" spans="1:9">
      <c r="A353" t="s">
        <v>788</v>
      </c>
      <c r="B353" t="s">
        <v>1139</v>
      </c>
      <c r="C353" t="s">
        <v>63</v>
      </c>
      <c r="D353" t="s">
        <v>490</v>
      </c>
      <c r="E353">
        <v>1</v>
      </c>
      <c r="F353" t="s">
        <v>46</v>
      </c>
      <c r="G353" t="s">
        <v>46</v>
      </c>
      <c r="H353" t="s">
        <v>65</v>
      </c>
      <c r="I353" t="s">
        <v>339</v>
      </c>
    </row>
    <row r="354" spans="1:9">
      <c r="A354" t="s">
        <v>788</v>
      </c>
      <c r="B354" t="s">
        <v>1140</v>
      </c>
      <c r="C354" t="s">
        <v>67</v>
      </c>
      <c r="D354" t="s">
        <v>491</v>
      </c>
      <c r="E354">
        <v>1</v>
      </c>
      <c r="F354" t="s">
        <v>46</v>
      </c>
      <c r="G354" t="s">
        <v>46</v>
      </c>
      <c r="H354" t="s">
        <v>65</v>
      </c>
      <c r="I354" t="s">
        <v>339</v>
      </c>
    </row>
    <row r="355" spans="1:9">
      <c r="A355" t="s">
        <v>788</v>
      </c>
      <c r="B355" t="s">
        <v>1141</v>
      </c>
      <c r="C355" t="s">
        <v>67</v>
      </c>
      <c r="D355" t="s">
        <v>492</v>
      </c>
      <c r="E355">
        <v>1</v>
      </c>
      <c r="F355" t="s">
        <v>46</v>
      </c>
      <c r="G355" t="s">
        <v>46</v>
      </c>
      <c r="H355" t="s">
        <v>65</v>
      </c>
      <c r="I355" t="s">
        <v>339</v>
      </c>
    </row>
    <row r="356" spans="1:9">
      <c r="A356" t="s">
        <v>788</v>
      </c>
      <c r="B356" t="s">
        <v>1142</v>
      </c>
      <c r="C356" t="s">
        <v>79</v>
      </c>
      <c r="D356" t="s">
        <v>493</v>
      </c>
      <c r="E356">
        <v>1</v>
      </c>
      <c r="F356" t="s">
        <v>46</v>
      </c>
      <c r="G356" t="s">
        <v>46</v>
      </c>
      <c r="H356" t="s">
        <v>65</v>
      </c>
      <c r="I356" t="s">
        <v>339</v>
      </c>
    </row>
    <row r="357" spans="1:9">
      <c r="A357" t="s">
        <v>788</v>
      </c>
      <c r="B357" t="s">
        <v>1143</v>
      </c>
      <c r="C357" t="s">
        <v>63</v>
      </c>
      <c r="D357" t="s">
        <v>283</v>
      </c>
      <c r="E357">
        <v>1</v>
      </c>
      <c r="F357" t="s">
        <v>46</v>
      </c>
      <c r="G357" t="s">
        <v>46</v>
      </c>
      <c r="H357" t="s">
        <v>65</v>
      </c>
      <c r="I357" t="s">
        <v>339</v>
      </c>
    </row>
    <row r="358" spans="1:9">
      <c r="A358" t="s">
        <v>788</v>
      </c>
      <c r="B358" t="s">
        <v>1144</v>
      </c>
      <c r="C358" t="s">
        <v>79</v>
      </c>
      <c r="D358" t="s">
        <v>494</v>
      </c>
      <c r="E358">
        <v>1</v>
      </c>
      <c r="F358" t="s">
        <v>46</v>
      </c>
      <c r="G358" t="s">
        <v>46</v>
      </c>
      <c r="H358" t="s">
        <v>65</v>
      </c>
      <c r="I358" t="s">
        <v>339</v>
      </c>
    </row>
    <row r="359" spans="1:9">
      <c r="A359" t="s">
        <v>788</v>
      </c>
      <c r="B359" t="s">
        <v>1145</v>
      </c>
      <c r="C359" t="s">
        <v>63</v>
      </c>
      <c r="D359" t="s">
        <v>495</v>
      </c>
      <c r="E359">
        <v>1</v>
      </c>
      <c r="F359" t="s">
        <v>46</v>
      </c>
      <c r="G359" t="s">
        <v>46</v>
      </c>
      <c r="H359" t="s">
        <v>65</v>
      </c>
      <c r="I359" t="s">
        <v>339</v>
      </c>
    </row>
    <row r="360" spans="1:9">
      <c r="A360" t="s">
        <v>788</v>
      </c>
      <c r="B360" t="s">
        <v>1146</v>
      </c>
      <c r="C360" t="s">
        <v>67</v>
      </c>
      <c r="D360" t="s">
        <v>475</v>
      </c>
      <c r="E360">
        <v>1</v>
      </c>
      <c r="F360" t="s">
        <v>46</v>
      </c>
      <c r="G360" t="s">
        <v>46</v>
      </c>
      <c r="H360" t="s">
        <v>65</v>
      </c>
      <c r="I360" t="s">
        <v>339</v>
      </c>
    </row>
    <row r="361" spans="1:9">
      <c r="A361" t="s">
        <v>788</v>
      </c>
      <c r="B361" t="s">
        <v>1147</v>
      </c>
      <c r="C361" t="s">
        <v>63</v>
      </c>
      <c r="D361" t="s">
        <v>496</v>
      </c>
      <c r="E361">
        <v>1</v>
      </c>
      <c r="F361" t="s">
        <v>46</v>
      </c>
      <c r="G361" t="s">
        <v>46</v>
      </c>
      <c r="H361" t="s">
        <v>65</v>
      </c>
      <c r="I361" t="s">
        <v>339</v>
      </c>
    </row>
    <row r="362" spans="1:9">
      <c r="A362" t="s">
        <v>788</v>
      </c>
      <c r="B362" t="s">
        <v>1148</v>
      </c>
      <c r="C362" t="s">
        <v>195</v>
      </c>
      <c r="D362" t="s">
        <v>497</v>
      </c>
      <c r="E362">
        <v>1</v>
      </c>
      <c r="F362" t="s">
        <v>46</v>
      </c>
      <c r="G362" t="s">
        <v>46</v>
      </c>
      <c r="H362" t="s">
        <v>65</v>
      </c>
      <c r="I362" t="s">
        <v>55</v>
      </c>
    </row>
    <row r="363" spans="1:9">
      <c r="A363" t="s">
        <v>788</v>
      </c>
      <c r="B363" t="s">
        <v>1149</v>
      </c>
      <c r="C363" t="s">
        <v>79</v>
      </c>
      <c r="D363" t="s">
        <v>498</v>
      </c>
      <c r="E363">
        <v>1</v>
      </c>
      <c r="F363" t="s">
        <v>46</v>
      </c>
      <c r="G363" t="s">
        <v>46</v>
      </c>
      <c r="H363" t="s">
        <v>65</v>
      </c>
      <c r="I363" t="s">
        <v>339</v>
      </c>
    </row>
    <row r="364" spans="1:9">
      <c r="A364" t="s">
        <v>788</v>
      </c>
      <c r="B364" t="s">
        <v>1150</v>
      </c>
      <c r="D364" t="s">
        <v>499</v>
      </c>
      <c r="E364">
        <v>1</v>
      </c>
      <c r="F364" t="s">
        <v>46</v>
      </c>
      <c r="G364" t="s">
        <v>114</v>
      </c>
      <c r="H364" t="s">
        <v>114</v>
      </c>
      <c r="I364" t="s">
        <v>173</v>
      </c>
    </row>
    <row r="365" spans="1:9">
      <c r="A365" t="s">
        <v>788</v>
      </c>
      <c r="B365" t="s">
        <v>1151</v>
      </c>
      <c r="C365" t="s">
        <v>69</v>
      </c>
      <c r="D365" t="s">
        <v>500</v>
      </c>
      <c r="E365">
        <v>1</v>
      </c>
      <c r="F365" t="s">
        <v>46</v>
      </c>
      <c r="G365" t="s">
        <v>70</v>
      </c>
      <c r="H365" t="s">
        <v>69</v>
      </c>
      <c r="I365" t="s">
        <v>82</v>
      </c>
    </row>
    <row r="366" spans="1:9">
      <c r="A366" t="s">
        <v>788</v>
      </c>
      <c r="B366" t="s">
        <v>1152</v>
      </c>
      <c r="C366" t="s">
        <v>89</v>
      </c>
      <c r="D366" t="s">
        <v>501</v>
      </c>
      <c r="E366">
        <v>1</v>
      </c>
      <c r="F366" t="s">
        <v>46</v>
      </c>
      <c r="G366" t="s">
        <v>46</v>
      </c>
      <c r="H366" t="s">
        <v>40</v>
      </c>
      <c r="I366" t="s">
        <v>383</v>
      </c>
    </row>
    <row r="367" spans="1:9">
      <c r="A367" t="s">
        <v>788</v>
      </c>
      <c r="B367" t="s">
        <v>1153</v>
      </c>
      <c r="C367" t="s">
        <v>85</v>
      </c>
      <c r="D367" t="s">
        <v>502</v>
      </c>
      <c r="E367">
        <v>1</v>
      </c>
      <c r="F367" t="s">
        <v>46</v>
      </c>
      <c r="G367" t="s">
        <v>46</v>
      </c>
      <c r="H367" t="s">
        <v>40</v>
      </c>
      <c r="I367" t="s">
        <v>383</v>
      </c>
    </row>
    <row r="368" spans="1:9">
      <c r="A368" t="s">
        <v>788</v>
      </c>
      <c r="B368" t="s">
        <v>1154</v>
      </c>
      <c r="D368" t="s">
        <v>503</v>
      </c>
      <c r="E368">
        <v>1</v>
      </c>
      <c r="F368" t="s">
        <v>46</v>
      </c>
      <c r="G368" t="s">
        <v>116</v>
      </c>
      <c r="H368" t="s">
        <v>43</v>
      </c>
      <c r="I368" t="s">
        <v>43</v>
      </c>
    </row>
    <row r="369" spans="1:9">
      <c r="A369" t="s">
        <v>788</v>
      </c>
      <c r="B369" t="s">
        <v>1155</v>
      </c>
      <c r="D369" t="s">
        <v>504</v>
      </c>
      <c r="E369">
        <v>1</v>
      </c>
      <c r="F369" t="s">
        <v>46</v>
      </c>
      <c r="G369" t="s">
        <v>46</v>
      </c>
      <c r="H369" t="s">
        <v>58</v>
      </c>
      <c r="I369" t="s">
        <v>58</v>
      </c>
    </row>
    <row r="370" spans="1:9">
      <c r="A370" t="s">
        <v>788</v>
      </c>
      <c r="B370" t="s">
        <v>1156</v>
      </c>
      <c r="C370" t="s">
        <v>160</v>
      </c>
      <c r="D370" t="s">
        <v>505</v>
      </c>
      <c r="E370">
        <v>1</v>
      </c>
      <c r="F370" t="s">
        <v>46</v>
      </c>
      <c r="G370" t="s">
        <v>46</v>
      </c>
      <c r="H370" t="s">
        <v>65</v>
      </c>
      <c r="I370" t="s">
        <v>339</v>
      </c>
    </row>
    <row r="371" spans="1:9">
      <c r="A371" t="s">
        <v>788</v>
      </c>
      <c r="B371" t="s">
        <v>1157</v>
      </c>
      <c r="C371" t="s">
        <v>85</v>
      </c>
      <c r="D371" t="s">
        <v>506</v>
      </c>
      <c r="E371">
        <v>1</v>
      </c>
      <c r="F371" t="s">
        <v>46</v>
      </c>
      <c r="G371" t="s">
        <v>46</v>
      </c>
      <c r="H371" t="s">
        <v>65</v>
      </c>
      <c r="I371" t="s">
        <v>339</v>
      </c>
    </row>
    <row r="372" spans="1:9">
      <c r="A372" t="s">
        <v>788</v>
      </c>
      <c r="B372" t="s">
        <v>1158</v>
      </c>
      <c r="C372" t="s">
        <v>67</v>
      </c>
      <c r="D372" t="s">
        <v>507</v>
      </c>
      <c r="E372">
        <v>1</v>
      </c>
      <c r="F372" t="s">
        <v>46</v>
      </c>
      <c r="G372" t="s">
        <v>46</v>
      </c>
      <c r="H372" t="s">
        <v>65</v>
      </c>
      <c r="I372" t="s">
        <v>339</v>
      </c>
    </row>
    <row r="373" spans="1:9">
      <c r="A373" t="s">
        <v>788</v>
      </c>
      <c r="B373" t="s">
        <v>1159</v>
      </c>
      <c r="C373" t="s">
        <v>75</v>
      </c>
      <c r="D373" t="s">
        <v>508</v>
      </c>
      <c r="E373">
        <v>1</v>
      </c>
      <c r="F373" t="s">
        <v>46</v>
      </c>
      <c r="G373" t="s">
        <v>46</v>
      </c>
      <c r="H373" t="s">
        <v>44</v>
      </c>
      <c r="I373" t="s">
        <v>339</v>
      </c>
    </row>
    <row r="374" spans="1:9">
      <c r="A374" t="s">
        <v>788</v>
      </c>
      <c r="B374" t="s">
        <v>1160</v>
      </c>
      <c r="C374" t="s">
        <v>85</v>
      </c>
      <c r="D374" t="s">
        <v>509</v>
      </c>
      <c r="E374">
        <v>1</v>
      </c>
      <c r="F374" t="s">
        <v>46</v>
      </c>
      <c r="G374" t="s">
        <v>46</v>
      </c>
      <c r="H374" t="s">
        <v>65</v>
      </c>
      <c r="I374" t="s">
        <v>339</v>
      </c>
    </row>
    <row r="375" spans="1:9">
      <c r="A375" t="s">
        <v>788</v>
      </c>
      <c r="B375" t="s">
        <v>1161</v>
      </c>
      <c r="C375" t="s">
        <v>75</v>
      </c>
      <c r="D375" t="s">
        <v>510</v>
      </c>
      <c r="E375">
        <v>1</v>
      </c>
      <c r="F375" t="s">
        <v>46</v>
      </c>
      <c r="G375" t="s">
        <v>46</v>
      </c>
      <c r="H375" t="s">
        <v>44</v>
      </c>
      <c r="I375" t="s">
        <v>339</v>
      </c>
    </row>
    <row r="376" spans="1:9">
      <c r="A376" t="s">
        <v>788</v>
      </c>
      <c r="B376" t="s">
        <v>1162</v>
      </c>
      <c r="C376" t="s">
        <v>160</v>
      </c>
      <c r="D376" t="s">
        <v>511</v>
      </c>
      <c r="E376">
        <v>1</v>
      </c>
      <c r="F376" t="s">
        <v>46</v>
      </c>
      <c r="G376" t="s">
        <v>46</v>
      </c>
      <c r="H376" t="s">
        <v>65</v>
      </c>
      <c r="I376" t="s">
        <v>339</v>
      </c>
    </row>
    <row r="377" spans="1:9">
      <c r="A377" t="s">
        <v>788</v>
      </c>
      <c r="B377" t="s">
        <v>1163</v>
      </c>
      <c r="C377" t="s">
        <v>85</v>
      </c>
      <c r="D377" t="s">
        <v>512</v>
      </c>
      <c r="E377">
        <v>1</v>
      </c>
      <c r="F377" t="s">
        <v>46</v>
      </c>
      <c r="G377" t="s">
        <v>46</v>
      </c>
      <c r="H377" t="s">
        <v>65</v>
      </c>
      <c r="I377" t="s">
        <v>339</v>
      </c>
    </row>
    <row r="378" spans="1:9">
      <c r="A378" t="s">
        <v>788</v>
      </c>
      <c r="B378" t="s">
        <v>1164</v>
      </c>
      <c r="C378" t="s">
        <v>69</v>
      </c>
      <c r="D378" t="s">
        <v>513</v>
      </c>
      <c r="E378">
        <v>1</v>
      </c>
      <c r="F378" t="s">
        <v>46</v>
      </c>
      <c r="G378" t="s">
        <v>70</v>
      </c>
      <c r="H378" t="s">
        <v>69</v>
      </c>
      <c r="I378" t="s">
        <v>82</v>
      </c>
    </row>
    <row r="379" spans="1:9">
      <c r="A379" t="s">
        <v>788</v>
      </c>
      <c r="B379" t="s">
        <v>1165</v>
      </c>
      <c r="D379" t="s">
        <v>514</v>
      </c>
      <c r="E379">
        <v>1</v>
      </c>
      <c r="F379" t="s">
        <v>154</v>
      </c>
      <c r="G379" t="s">
        <v>154</v>
      </c>
      <c r="H379" t="s">
        <v>155</v>
      </c>
      <c r="I379" t="s">
        <v>486</v>
      </c>
    </row>
    <row r="380" spans="1:9">
      <c r="A380" t="s">
        <v>788</v>
      </c>
      <c r="B380" t="s">
        <v>1166</v>
      </c>
      <c r="D380" t="s">
        <v>515</v>
      </c>
      <c r="E380">
        <v>1</v>
      </c>
      <c r="F380" t="s">
        <v>46</v>
      </c>
      <c r="G380" t="s">
        <v>114</v>
      </c>
      <c r="H380" t="s">
        <v>114</v>
      </c>
      <c r="I380" t="s">
        <v>173</v>
      </c>
    </row>
    <row r="381" spans="1:9">
      <c r="A381" t="s">
        <v>788</v>
      </c>
      <c r="B381" t="s">
        <v>1167</v>
      </c>
      <c r="C381" t="s">
        <v>89</v>
      </c>
      <c r="D381" t="s">
        <v>518</v>
      </c>
      <c r="E381">
        <v>1</v>
      </c>
      <c r="F381" t="s">
        <v>46</v>
      </c>
      <c r="G381" t="s">
        <v>46</v>
      </c>
      <c r="H381" t="s">
        <v>65</v>
      </c>
      <c r="I381" t="s">
        <v>339</v>
      </c>
    </row>
    <row r="382" spans="1:9">
      <c r="A382" t="s">
        <v>788</v>
      </c>
      <c r="B382" t="s">
        <v>1168</v>
      </c>
      <c r="C382" t="s">
        <v>142</v>
      </c>
      <c r="D382" t="s">
        <v>519</v>
      </c>
      <c r="E382">
        <v>1</v>
      </c>
      <c r="F382" t="s">
        <v>46</v>
      </c>
      <c r="G382" t="s">
        <v>46</v>
      </c>
      <c r="H382" t="s">
        <v>65</v>
      </c>
      <c r="I382" t="s">
        <v>339</v>
      </c>
    </row>
    <row r="383" spans="1:9">
      <c r="A383" t="s">
        <v>788</v>
      </c>
      <c r="B383" t="s">
        <v>1169</v>
      </c>
      <c r="C383" t="s">
        <v>89</v>
      </c>
      <c r="D383" t="s">
        <v>520</v>
      </c>
      <c r="E383">
        <v>1</v>
      </c>
      <c r="F383" t="s">
        <v>46</v>
      </c>
      <c r="G383" t="s">
        <v>46</v>
      </c>
      <c r="H383" t="s">
        <v>65</v>
      </c>
      <c r="I383" t="s">
        <v>339</v>
      </c>
    </row>
    <row r="384" spans="1:9">
      <c r="A384" t="s">
        <v>788</v>
      </c>
      <c r="B384" t="s">
        <v>1170</v>
      </c>
      <c r="C384" t="s">
        <v>63</v>
      </c>
      <c r="D384" t="s">
        <v>521</v>
      </c>
      <c r="E384">
        <v>1</v>
      </c>
      <c r="F384" t="s">
        <v>46</v>
      </c>
      <c r="G384" t="s">
        <v>46</v>
      </c>
      <c r="H384" t="s">
        <v>65</v>
      </c>
      <c r="I384" t="s">
        <v>339</v>
      </c>
    </row>
    <row r="385" spans="1:9">
      <c r="A385" t="s">
        <v>788</v>
      </c>
      <c r="B385" t="s">
        <v>1171</v>
      </c>
      <c r="C385" t="s">
        <v>142</v>
      </c>
      <c r="D385" t="s">
        <v>242</v>
      </c>
      <c r="E385">
        <v>1</v>
      </c>
      <c r="F385" t="s">
        <v>46</v>
      </c>
      <c r="G385" t="s">
        <v>46</v>
      </c>
      <c r="H385" t="s">
        <v>65</v>
      </c>
      <c r="I385" t="s">
        <v>339</v>
      </c>
    </row>
    <row r="386" spans="1:9">
      <c r="A386" t="s">
        <v>788</v>
      </c>
      <c r="B386" t="s">
        <v>1172</v>
      </c>
      <c r="C386" t="s">
        <v>88</v>
      </c>
      <c r="D386" t="s">
        <v>522</v>
      </c>
      <c r="E386">
        <v>1</v>
      </c>
      <c r="F386" t="s">
        <v>46</v>
      </c>
      <c r="G386" t="s">
        <v>46</v>
      </c>
      <c r="H386" t="s">
        <v>65</v>
      </c>
      <c r="I386" t="s">
        <v>339</v>
      </c>
    </row>
    <row r="387" spans="1:9">
      <c r="A387" t="s">
        <v>788</v>
      </c>
      <c r="B387" t="s">
        <v>1173</v>
      </c>
      <c r="C387" t="s">
        <v>142</v>
      </c>
      <c r="D387" t="s">
        <v>524</v>
      </c>
      <c r="E387">
        <v>1</v>
      </c>
      <c r="F387" t="s">
        <v>46</v>
      </c>
      <c r="G387" t="s">
        <v>46</v>
      </c>
      <c r="H387" t="s">
        <v>65</v>
      </c>
      <c r="I387" t="s">
        <v>55</v>
      </c>
    </row>
    <row r="388" spans="1:9">
      <c r="A388" t="s">
        <v>788</v>
      </c>
      <c r="B388" t="s">
        <v>1174</v>
      </c>
      <c r="C388" t="s">
        <v>89</v>
      </c>
      <c r="D388" t="s">
        <v>525</v>
      </c>
      <c r="E388">
        <v>1</v>
      </c>
      <c r="F388" t="s">
        <v>46</v>
      </c>
      <c r="G388" t="s">
        <v>46</v>
      </c>
      <c r="H388" t="s">
        <v>65</v>
      </c>
      <c r="I388" t="s">
        <v>339</v>
      </c>
    </row>
    <row r="389" spans="1:9">
      <c r="A389" t="s">
        <v>788</v>
      </c>
      <c r="B389" t="s">
        <v>1175</v>
      </c>
      <c r="D389" t="s">
        <v>338</v>
      </c>
      <c r="E389">
        <v>1</v>
      </c>
      <c r="F389" t="s">
        <v>46</v>
      </c>
      <c r="G389" t="s">
        <v>114</v>
      </c>
      <c r="H389" t="s">
        <v>114</v>
      </c>
      <c r="I389" t="s">
        <v>173</v>
      </c>
    </row>
    <row r="390" spans="1:9">
      <c r="A390" t="s">
        <v>788</v>
      </c>
      <c r="B390" t="s">
        <v>1176</v>
      </c>
      <c r="C390" t="s">
        <v>195</v>
      </c>
      <c r="D390" t="s">
        <v>526</v>
      </c>
      <c r="E390">
        <v>1</v>
      </c>
      <c r="F390" t="s">
        <v>46</v>
      </c>
      <c r="G390" t="s">
        <v>46</v>
      </c>
      <c r="H390" t="s">
        <v>40</v>
      </c>
      <c r="I390" t="s">
        <v>383</v>
      </c>
    </row>
    <row r="391" spans="1:9">
      <c r="A391" t="s">
        <v>788</v>
      </c>
      <c r="B391" t="s">
        <v>1177</v>
      </c>
      <c r="C391" t="s">
        <v>142</v>
      </c>
      <c r="D391" t="s">
        <v>527</v>
      </c>
      <c r="E391">
        <v>1</v>
      </c>
      <c r="F391" t="s">
        <v>46</v>
      </c>
      <c r="G391" t="s">
        <v>46</v>
      </c>
      <c r="H391" t="s">
        <v>65</v>
      </c>
      <c r="I391" t="s">
        <v>339</v>
      </c>
    </row>
    <row r="392" spans="1:9">
      <c r="A392" t="s">
        <v>788</v>
      </c>
      <c r="B392" t="s">
        <v>1178</v>
      </c>
      <c r="C392" t="s">
        <v>89</v>
      </c>
      <c r="D392" t="s">
        <v>121</v>
      </c>
      <c r="E392">
        <v>1</v>
      </c>
      <c r="F392" t="s">
        <v>46</v>
      </c>
      <c r="G392" t="s">
        <v>46</v>
      </c>
      <c r="H392" t="s">
        <v>65</v>
      </c>
      <c r="I392" t="s">
        <v>339</v>
      </c>
    </row>
    <row r="393" spans="1:9">
      <c r="A393" t="s">
        <v>788</v>
      </c>
      <c r="B393" t="s">
        <v>1179</v>
      </c>
      <c r="C393" t="s">
        <v>88</v>
      </c>
      <c r="D393" t="s">
        <v>529</v>
      </c>
      <c r="E393">
        <v>1</v>
      </c>
      <c r="F393" t="s">
        <v>46</v>
      </c>
      <c r="G393" t="s">
        <v>46</v>
      </c>
      <c r="H393" t="s">
        <v>65</v>
      </c>
      <c r="I393" t="s">
        <v>339</v>
      </c>
    </row>
    <row r="394" spans="1:9">
      <c r="A394" t="s">
        <v>788</v>
      </c>
      <c r="B394" t="s">
        <v>1180</v>
      </c>
      <c r="C394" t="s">
        <v>63</v>
      </c>
      <c r="D394" t="s">
        <v>530</v>
      </c>
      <c r="E394">
        <v>1</v>
      </c>
      <c r="F394" t="s">
        <v>46</v>
      </c>
      <c r="G394" t="s">
        <v>46</v>
      </c>
      <c r="H394" t="s">
        <v>40</v>
      </c>
      <c r="I394" t="s">
        <v>383</v>
      </c>
    </row>
    <row r="395" spans="1:9">
      <c r="A395" t="s">
        <v>788</v>
      </c>
      <c r="B395" t="s">
        <v>1181</v>
      </c>
      <c r="C395" t="s">
        <v>265</v>
      </c>
      <c r="D395" t="s">
        <v>531</v>
      </c>
      <c r="E395">
        <v>1</v>
      </c>
      <c r="F395" t="s">
        <v>46</v>
      </c>
      <c r="G395" t="s">
        <v>46</v>
      </c>
      <c r="H395" t="s">
        <v>266</v>
      </c>
      <c r="I395" t="s">
        <v>383</v>
      </c>
    </row>
    <row r="396" spans="1:9">
      <c r="A396" t="s">
        <v>788</v>
      </c>
      <c r="B396" t="s">
        <v>1182</v>
      </c>
      <c r="C396" t="s">
        <v>142</v>
      </c>
      <c r="D396" t="s">
        <v>532</v>
      </c>
      <c r="E396">
        <v>1</v>
      </c>
      <c r="F396" t="s">
        <v>46</v>
      </c>
      <c r="G396" t="s">
        <v>46</v>
      </c>
      <c r="H396" t="s">
        <v>40</v>
      </c>
      <c r="I396" t="s">
        <v>383</v>
      </c>
    </row>
    <row r="397" spans="1:9">
      <c r="A397" t="s">
        <v>788</v>
      </c>
      <c r="B397" t="s">
        <v>1183</v>
      </c>
      <c r="D397" t="s">
        <v>533</v>
      </c>
      <c r="E397">
        <v>1</v>
      </c>
      <c r="F397" t="s">
        <v>42</v>
      </c>
      <c r="G397" t="s">
        <v>42</v>
      </c>
      <c r="H397" t="s">
        <v>42</v>
      </c>
      <c r="I397" t="s">
        <v>260</v>
      </c>
    </row>
    <row r="398" spans="1:9">
      <c r="A398" t="s">
        <v>788</v>
      </c>
      <c r="B398" t="s">
        <v>1184</v>
      </c>
      <c r="C398" t="s">
        <v>79</v>
      </c>
      <c r="D398" t="s">
        <v>90</v>
      </c>
      <c r="E398">
        <v>1</v>
      </c>
      <c r="F398" t="s">
        <v>46</v>
      </c>
      <c r="G398" t="s">
        <v>46</v>
      </c>
      <c r="H398" t="s">
        <v>65</v>
      </c>
      <c r="I398" t="s">
        <v>339</v>
      </c>
    </row>
    <row r="399" spans="1:9">
      <c r="A399" t="s">
        <v>788</v>
      </c>
      <c r="B399" t="s">
        <v>1185</v>
      </c>
      <c r="C399" t="s">
        <v>195</v>
      </c>
      <c r="D399" t="s">
        <v>534</v>
      </c>
      <c r="E399">
        <v>1</v>
      </c>
      <c r="F399" t="s">
        <v>46</v>
      </c>
      <c r="G399" t="s">
        <v>46</v>
      </c>
      <c r="H399" t="s">
        <v>65</v>
      </c>
      <c r="I399" t="s">
        <v>339</v>
      </c>
    </row>
    <row r="400" spans="1:9">
      <c r="A400" t="s">
        <v>788</v>
      </c>
      <c r="B400" t="s">
        <v>1186</v>
      </c>
      <c r="C400" t="s">
        <v>195</v>
      </c>
      <c r="D400" t="s">
        <v>535</v>
      </c>
      <c r="E400">
        <v>1</v>
      </c>
      <c r="F400" t="s">
        <v>46</v>
      </c>
      <c r="G400" t="s">
        <v>46</v>
      </c>
      <c r="H400" t="s">
        <v>65</v>
      </c>
      <c r="I400" t="s">
        <v>339</v>
      </c>
    </row>
    <row r="401" spans="1:9">
      <c r="A401" t="s">
        <v>788</v>
      </c>
      <c r="B401" t="s">
        <v>1187</v>
      </c>
      <c r="C401" t="s">
        <v>195</v>
      </c>
      <c r="D401" t="s">
        <v>536</v>
      </c>
      <c r="E401">
        <v>1</v>
      </c>
      <c r="F401" t="s">
        <v>46</v>
      </c>
      <c r="G401" t="s">
        <v>46</v>
      </c>
      <c r="H401" t="s">
        <v>65</v>
      </c>
      <c r="I401" t="s">
        <v>339</v>
      </c>
    </row>
    <row r="402" spans="1:9">
      <c r="A402" t="s">
        <v>788</v>
      </c>
      <c r="B402" t="s">
        <v>1188</v>
      </c>
      <c r="C402" t="s">
        <v>79</v>
      </c>
      <c r="D402" t="s">
        <v>537</v>
      </c>
      <c r="E402">
        <v>1</v>
      </c>
      <c r="F402" t="s">
        <v>46</v>
      </c>
      <c r="G402" t="s">
        <v>46</v>
      </c>
      <c r="H402" t="s">
        <v>65</v>
      </c>
      <c r="I402" t="s">
        <v>339</v>
      </c>
    </row>
    <row r="403" spans="1:9">
      <c r="A403" t="s">
        <v>788</v>
      </c>
      <c r="B403" t="s">
        <v>1189</v>
      </c>
      <c r="C403" t="s">
        <v>73</v>
      </c>
      <c r="D403" t="s">
        <v>538</v>
      </c>
      <c r="E403">
        <v>1</v>
      </c>
      <c r="F403" t="s">
        <v>46</v>
      </c>
      <c r="G403" t="s">
        <v>46</v>
      </c>
      <c r="H403" t="s">
        <v>65</v>
      </c>
      <c r="I403" t="s">
        <v>55</v>
      </c>
    </row>
    <row r="404" spans="1:9">
      <c r="A404" t="s">
        <v>788</v>
      </c>
      <c r="B404" t="s">
        <v>1190</v>
      </c>
      <c r="C404" t="s">
        <v>142</v>
      </c>
      <c r="D404" t="s">
        <v>539</v>
      </c>
      <c r="E404">
        <v>1</v>
      </c>
      <c r="F404" t="s">
        <v>46</v>
      </c>
      <c r="G404" t="s">
        <v>46</v>
      </c>
      <c r="H404" t="s">
        <v>65</v>
      </c>
      <c r="I404" t="s">
        <v>339</v>
      </c>
    </row>
    <row r="405" spans="1:9">
      <c r="A405" t="s">
        <v>788</v>
      </c>
      <c r="B405" t="s">
        <v>1191</v>
      </c>
      <c r="C405" t="s">
        <v>88</v>
      </c>
      <c r="D405" t="s">
        <v>540</v>
      </c>
      <c r="E405">
        <v>1</v>
      </c>
      <c r="F405" t="s">
        <v>46</v>
      </c>
      <c r="G405" t="s">
        <v>46</v>
      </c>
      <c r="H405" t="s">
        <v>65</v>
      </c>
      <c r="I405" t="s">
        <v>339</v>
      </c>
    </row>
    <row r="406" spans="1:9">
      <c r="A406" t="s">
        <v>788</v>
      </c>
      <c r="B406" t="s">
        <v>1192</v>
      </c>
      <c r="C406" t="s">
        <v>89</v>
      </c>
      <c r="D406" t="s">
        <v>541</v>
      </c>
      <c r="E406">
        <v>1</v>
      </c>
      <c r="F406" t="s">
        <v>46</v>
      </c>
      <c r="G406" t="s">
        <v>46</v>
      </c>
      <c r="H406" t="s">
        <v>65</v>
      </c>
      <c r="I406" t="s">
        <v>339</v>
      </c>
    </row>
    <row r="407" spans="1:9">
      <c r="A407" t="s">
        <v>788</v>
      </c>
      <c r="B407" t="s">
        <v>1193</v>
      </c>
      <c r="C407" t="s">
        <v>88</v>
      </c>
      <c r="D407" t="s">
        <v>542</v>
      </c>
      <c r="E407">
        <v>1</v>
      </c>
      <c r="F407" t="s">
        <v>46</v>
      </c>
      <c r="G407" t="s">
        <v>46</v>
      </c>
      <c r="H407" t="s">
        <v>65</v>
      </c>
      <c r="I407" t="s">
        <v>339</v>
      </c>
    </row>
    <row r="408" spans="1:9">
      <c r="A408" t="s">
        <v>788</v>
      </c>
      <c r="B408" t="s">
        <v>1194</v>
      </c>
      <c r="C408" t="s">
        <v>195</v>
      </c>
      <c r="D408" t="s">
        <v>543</v>
      </c>
      <c r="E408">
        <v>1</v>
      </c>
      <c r="F408" t="s">
        <v>46</v>
      </c>
      <c r="G408" t="s">
        <v>46</v>
      </c>
      <c r="H408" t="s">
        <v>65</v>
      </c>
      <c r="I408" t="s">
        <v>55</v>
      </c>
    </row>
    <row r="409" spans="1:9">
      <c r="A409" t="s">
        <v>788</v>
      </c>
      <c r="B409" t="s">
        <v>1195</v>
      </c>
      <c r="C409" t="s">
        <v>195</v>
      </c>
      <c r="D409" t="s">
        <v>544</v>
      </c>
      <c r="E409">
        <v>1</v>
      </c>
      <c r="F409" t="s">
        <v>46</v>
      </c>
      <c r="G409" t="s">
        <v>46</v>
      </c>
      <c r="H409" t="s">
        <v>65</v>
      </c>
      <c r="I409" t="s">
        <v>339</v>
      </c>
    </row>
    <row r="410" spans="1:9">
      <c r="A410" t="s">
        <v>788</v>
      </c>
      <c r="B410" t="s">
        <v>1196</v>
      </c>
      <c r="C410" t="s">
        <v>195</v>
      </c>
      <c r="D410" t="s">
        <v>545</v>
      </c>
      <c r="E410">
        <v>1</v>
      </c>
      <c r="F410" t="s">
        <v>46</v>
      </c>
      <c r="G410" t="s">
        <v>46</v>
      </c>
      <c r="H410" t="s">
        <v>65</v>
      </c>
      <c r="I410" t="s">
        <v>339</v>
      </c>
    </row>
    <row r="411" spans="1:9">
      <c r="A411" t="s">
        <v>788</v>
      </c>
      <c r="B411" t="s">
        <v>1197</v>
      </c>
      <c r="C411" t="s">
        <v>88</v>
      </c>
      <c r="D411" t="s">
        <v>546</v>
      </c>
      <c r="E411">
        <v>1</v>
      </c>
      <c r="F411" t="s">
        <v>46</v>
      </c>
      <c r="G411" t="s">
        <v>46</v>
      </c>
      <c r="H411" t="s">
        <v>65</v>
      </c>
      <c r="I411" t="s">
        <v>339</v>
      </c>
    </row>
    <row r="412" spans="1:9">
      <c r="A412" t="s">
        <v>788</v>
      </c>
      <c r="B412" t="s">
        <v>1198</v>
      </c>
      <c r="C412" t="s">
        <v>89</v>
      </c>
      <c r="D412" t="s">
        <v>547</v>
      </c>
      <c r="E412">
        <v>1</v>
      </c>
      <c r="F412" t="s">
        <v>46</v>
      </c>
      <c r="G412" t="s">
        <v>46</v>
      </c>
      <c r="H412" t="s">
        <v>65</v>
      </c>
      <c r="I412" t="s">
        <v>339</v>
      </c>
    </row>
    <row r="413" spans="1:9">
      <c r="A413" t="s">
        <v>788</v>
      </c>
      <c r="B413" t="s">
        <v>1199</v>
      </c>
      <c r="C413" t="s">
        <v>88</v>
      </c>
      <c r="D413" t="s">
        <v>548</v>
      </c>
      <c r="E413">
        <v>1</v>
      </c>
      <c r="F413" t="s">
        <v>46</v>
      </c>
      <c r="G413" t="s">
        <v>46</v>
      </c>
      <c r="H413" t="s">
        <v>65</v>
      </c>
      <c r="I413" t="s">
        <v>55</v>
      </c>
    </row>
    <row r="414" spans="1:9">
      <c r="A414" t="s">
        <v>788</v>
      </c>
      <c r="B414" t="s">
        <v>1200</v>
      </c>
      <c r="C414" t="s">
        <v>89</v>
      </c>
      <c r="D414" t="s">
        <v>550</v>
      </c>
      <c r="E414">
        <v>1</v>
      </c>
      <c r="F414" t="s">
        <v>46</v>
      </c>
      <c r="G414" t="s">
        <v>46</v>
      </c>
      <c r="H414" t="s">
        <v>65</v>
      </c>
      <c r="I414" t="s">
        <v>339</v>
      </c>
    </row>
    <row r="415" spans="1:9">
      <c r="A415" t="s">
        <v>788</v>
      </c>
      <c r="B415" t="s">
        <v>1201</v>
      </c>
      <c r="C415" t="s">
        <v>142</v>
      </c>
      <c r="D415" t="s">
        <v>551</v>
      </c>
      <c r="E415">
        <v>1</v>
      </c>
      <c r="F415" t="s">
        <v>46</v>
      </c>
      <c r="G415" t="s">
        <v>46</v>
      </c>
      <c r="H415" t="s">
        <v>65</v>
      </c>
      <c r="I415" t="s">
        <v>339</v>
      </c>
    </row>
    <row r="416" spans="1:9">
      <c r="A416" t="s">
        <v>788</v>
      </c>
      <c r="B416" t="s">
        <v>1202</v>
      </c>
      <c r="C416" t="s">
        <v>195</v>
      </c>
      <c r="D416" t="s">
        <v>552</v>
      </c>
      <c r="E416">
        <v>1</v>
      </c>
      <c r="F416" t="s">
        <v>46</v>
      </c>
      <c r="G416" t="s">
        <v>46</v>
      </c>
      <c r="H416" t="s">
        <v>65</v>
      </c>
      <c r="I416" t="s">
        <v>339</v>
      </c>
    </row>
    <row r="417" spans="1:9">
      <c r="A417" t="s">
        <v>788</v>
      </c>
      <c r="B417" t="s">
        <v>1203</v>
      </c>
      <c r="C417" t="s">
        <v>142</v>
      </c>
      <c r="D417" t="s">
        <v>553</v>
      </c>
      <c r="E417">
        <v>1</v>
      </c>
      <c r="F417" t="s">
        <v>46</v>
      </c>
      <c r="G417" t="s">
        <v>46</v>
      </c>
      <c r="H417" t="s">
        <v>65</v>
      </c>
      <c r="I417" t="s">
        <v>339</v>
      </c>
    </row>
    <row r="418" spans="1:9">
      <c r="A418" t="s">
        <v>788</v>
      </c>
      <c r="B418" t="s">
        <v>1204</v>
      </c>
      <c r="C418" t="s">
        <v>160</v>
      </c>
      <c r="D418" t="s">
        <v>554</v>
      </c>
      <c r="E418">
        <v>1</v>
      </c>
      <c r="F418" t="s">
        <v>46</v>
      </c>
      <c r="G418" t="s">
        <v>46</v>
      </c>
      <c r="H418" t="s">
        <v>65</v>
      </c>
      <c r="I418" t="s">
        <v>339</v>
      </c>
    </row>
    <row r="419" spans="1:9">
      <c r="A419" t="s">
        <v>788</v>
      </c>
      <c r="B419" t="s">
        <v>1205</v>
      </c>
      <c r="D419" t="s">
        <v>555</v>
      </c>
      <c r="E419">
        <v>1</v>
      </c>
      <c r="F419" t="s">
        <v>46</v>
      </c>
      <c r="G419" t="s">
        <v>114</v>
      </c>
      <c r="H419" t="s">
        <v>114</v>
      </c>
      <c r="I419" t="s">
        <v>173</v>
      </c>
    </row>
    <row r="420" spans="1:9">
      <c r="A420" t="s">
        <v>788</v>
      </c>
      <c r="B420" t="s">
        <v>1206</v>
      </c>
      <c r="C420" t="s">
        <v>69</v>
      </c>
      <c r="D420" t="s">
        <v>556</v>
      </c>
      <c r="E420">
        <v>1</v>
      </c>
      <c r="F420" t="s">
        <v>46</v>
      </c>
      <c r="G420" t="s">
        <v>70</v>
      </c>
      <c r="H420" t="s">
        <v>69</v>
      </c>
      <c r="I420" t="s">
        <v>82</v>
      </c>
    </row>
    <row r="421" spans="1:9">
      <c r="A421" t="s">
        <v>788</v>
      </c>
      <c r="B421" t="s">
        <v>1207</v>
      </c>
      <c r="D421" t="s">
        <v>557</v>
      </c>
      <c r="E421">
        <v>1</v>
      </c>
      <c r="F421" t="s">
        <v>154</v>
      </c>
      <c r="G421" t="s">
        <v>154</v>
      </c>
      <c r="H421" t="s">
        <v>155</v>
      </c>
      <c r="I421" t="s">
        <v>225</v>
      </c>
    </row>
    <row r="422" spans="1:9">
      <c r="A422" t="s">
        <v>788</v>
      </c>
      <c r="B422" t="s">
        <v>1208</v>
      </c>
      <c r="D422" t="s">
        <v>558</v>
      </c>
      <c r="E422">
        <v>1</v>
      </c>
      <c r="F422" t="s">
        <v>154</v>
      </c>
      <c r="G422" t="s">
        <v>154</v>
      </c>
      <c r="H422" t="s">
        <v>155</v>
      </c>
      <c r="I422" t="s">
        <v>225</v>
      </c>
    </row>
    <row r="423" spans="1:9">
      <c r="A423" t="s">
        <v>788</v>
      </c>
      <c r="B423" t="s">
        <v>1209</v>
      </c>
      <c r="D423" t="s">
        <v>559</v>
      </c>
      <c r="E423">
        <v>1</v>
      </c>
      <c r="F423" t="s">
        <v>154</v>
      </c>
      <c r="G423" t="s">
        <v>154</v>
      </c>
      <c r="H423" t="s">
        <v>155</v>
      </c>
      <c r="I423" t="s">
        <v>225</v>
      </c>
    </row>
    <row r="424" spans="1:9">
      <c r="A424" t="s">
        <v>788</v>
      </c>
      <c r="B424" t="s">
        <v>1210</v>
      </c>
      <c r="D424" t="s">
        <v>560</v>
      </c>
      <c r="E424">
        <v>1</v>
      </c>
      <c r="F424" t="s">
        <v>154</v>
      </c>
      <c r="G424" t="s">
        <v>154</v>
      </c>
      <c r="H424" t="s">
        <v>155</v>
      </c>
      <c r="I424" t="s">
        <v>225</v>
      </c>
    </row>
    <row r="425" spans="1:9">
      <c r="A425" t="s">
        <v>788</v>
      </c>
      <c r="B425" t="s">
        <v>1211</v>
      </c>
      <c r="C425" t="s">
        <v>69</v>
      </c>
      <c r="D425" t="s">
        <v>561</v>
      </c>
      <c r="E425">
        <v>1</v>
      </c>
      <c r="F425" t="s">
        <v>46</v>
      </c>
      <c r="G425" t="s">
        <v>70</v>
      </c>
      <c r="H425" t="s">
        <v>69</v>
      </c>
      <c r="I425" t="s">
        <v>82</v>
      </c>
    </row>
    <row r="426" spans="1:9">
      <c r="A426" t="s">
        <v>788</v>
      </c>
      <c r="B426" t="s">
        <v>1212</v>
      </c>
      <c r="C426" t="s">
        <v>69</v>
      </c>
      <c r="D426" t="s">
        <v>562</v>
      </c>
      <c r="E426">
        <v>1</v>
      </c>
      <c r="F426" t="s">
        <v>46</v>
      </c>
      <c r="G426" t="s">
        <v>70</v>
      </c>
      <c r="H426" t="s">
        <v>69</v>
      </c>
      <c r="I426" t="s">
        <v>82</v>
      </c>
    </row>
    <row r="427" spans="1:9">
      <c r="A427" t="s">
        <v>788</v>
      </c>
      <c r="B427" t="s">
        <v>1213</v>
      </c>
      <c r="C427" t="s">
        <v>69</v>
      </c>
      <c r="D427" t="s">
        <v>563</v>
      </c>
      <c r="E427">
        <v>1</v>
      </c>
      <c r="F427" t="s">
        <v>46</v>
      </c>
      <c r="G427" t="s">
        <v>70</v>
      </c>
      <c r="H427" t="s">
        <v>69</v>
      </c>
      <c r="I427" t="s">
        <v>82</v>
      </c>
    </row>
    <row r="428" spans="1:9">
      <c r="A428" t="s">
        <v>788</v>
      </c>
      <c r="B428" t="s">
        <v>1214</v>
      </c>
      <c r="D428" t="s">
        <v>564</v>
      </c>
      <c r="E428">
        <v>1</v>
      </c>
      <c r="F428" t="s">
        <v>49</v>
      </c>
      <c r="G428" t="s">
        <v>107</v>
      </c>
      <c r="H428" t="s">
        <v>107</v>
      </c>
      <c r="I428" t="s">
        <v>185</v>
      </c>
    </row>
    <row r="429" spans="1:9">
      <c r="A429" t="s">
        <v>788</v>
      </c>
      <c r="B429" t="s">
        <v>1215</v>
      </c>
      <c r="D429" t="s">
        <v>565</v>
      </c>
      <c r="E429">
        <v>1</v>
      </c>
      <c r="F429" t="s">
        <v>49</v>
      </c>
      <c r="G429" t="s">
        <v>50</v>
      </c>
      <c r="H429" t="s">
        <v>51</v>
      </c>
      <c r="I429" t="s">
        <v>51</v>
      </c>
    </row>
    <row r="430" spans="1:9">
      <c r="A430" t="s">
        <v>788</v>
      </c>
      <c r="B430" t="s">
        <v>1216</v>
      </c>
      <c r="D430" t="s">
        <v>566</v>
      </c>
      <c r="E430">
        <v>1</v>
      </c>
      <c r="F430" t="s">
        <v>46</v>
      </c>
      <c r="G430" t="s">
        <v>114</v>
      </c>
      <c r="H430" t="s">
        <v>114</v>
      </c>
      <c r="I430" t="s">
        <v>567</v>
      </c>
    </row>
    <row r="431" spans="1:9">
      <c r="A431" t="s">
        <v>788</v>
      </c>
      <c r="B431" t="s">
        <v>1217</v>
      </c>
      <c r="D431" t="s">
        <v>238</v>
      </c>
      <c r="E431">
        <v>1</v>
      </c>
      <c r="F431" t="s">
        <v>46</v>
      </c>
      <c r="G431" t="s">
        <v>114</v>
      </c>
      <c r="H431" t="s">
        <v>114</v>
      </c>
      <c r="I431" t="s">
        <v>173</v>
      </c>
    </row>
    <row r="432" spans="1:9">
      <c r="A432" t="s">
        <v>788</v>
      </c>
      <c r="B432" t="s">
        <v>1218</v>
      </c>
      <c r="C432" t="s">
        <v>69</v>
      </c>
      <c r="D432" t="s">
        <v>568</v>
      </c>
      <c r="E432">
        <v>1</v>
      </c>
      <c r="F432" t="s">
        <v>46</v>
      </c>
      <c r="G432" t="s">
        <v>70</v>
      </c>
      <c r="H432" t="s">
        <v>69</v>
      </c>
      <c r="I432" t="s">
        <v>569</v>
      </c>
    </row>
    <row r="433" spans="1:9">
      <c r="A433" t="s">
        <v>788</v>
      </c>
      <c r="B433" t="s">
        <v>1219</v>
      </c>
      <c r="C433" t="s">
        <v>160</v>
      </c>
      <c r="D433" t="s">
        <v>570</v>
      </c>
      <c r="E433">
        <v>1</v>
      </c>
      <c r="F433" t="s">
        <v>46</v>
      </c>
      <c r="G433" t="s">
        <v>46</v>
      </c>
      <c r="H433" t="s">
        <v>65</v>
      </c>
      <c r="I433" t="s">
        <v>339</v>
      </c>
    </row>
    <row r="434" spans="1:9">
      <c r="A434" t="s">
        <v>788</v>
      </c>
      <c r="B434" t="s">
        <v>1220</v>
      </c>
      <c r="D434" t="s">
        <v>571</v>
      </c>
      <c r="E434">
        <v>1</v>
      </c>
      <c r="F434" t="s">
        <v>49</v>
      </c>
      <c r="G434" t="s">
        <v>50</v>
      </c>
      <c r="H434" t="s">
        <v>111</v>
      </c>
      <c r="I434" t="s">
        <v>112</v>
      </c>
    </row>
    <row r="435" spans="1:9">
      <c r="A435" t="s">
        <v>788</v>
      </c>
      <c r="B435" t="s">
        <v>1221</v>
      </c>
      <c r="C435" t="s">
        <v>79</v>
      </c>
      <c r="D435" t="s">
        <v>572</v>
      </c>
      <c r="E435">
        <v>1</v>
      </c>
      <c r="F435" t="s">
        <v>46</v>
      </c>
      <c r="G435" t="s">
        <v>46</v>
      </c>
      <c r="H435" t="s">
        <v>65</v>
      </c>
      <c r="I435" t="s">
        <v>339</v>
      </c>
    </row>
    <row r="436" spans="1:9">
      <c r="A436" t="s">
        <v>788</v>
      </c>
      <c r="B436" t="s">
        <v>1222</v>
      </c>
      <c r="C436" t="s">
        <v>88</v>
      </c>
      <c r="D436" t="s">
        <v>573</v>
      </c>
      <c r="E436">
        <v>1</v>
      </c>
      <c r="F436" t="s">
        <v>46</v>
      </c>
      <c r="G436" t="s">
        <v>46</v>
      </c>
      <c r="H436" t="s">
        <v>65</v>
      </c>
      <c r="I436" t="s">
        <v>339</v>
      </c>
    </row>
    <row r="437" spans="1:9">
      <c r="A437" t="s">
        <v>788</v>
      </c>
      <c r="B437" t="s">
        <v>1223</v>
      </c>
      <c r="C437" t="s">
        <v>63</v>
      </c>
      <c r="D437" t="s">
        <v>574</v>
      </c>
      <c r="E437">
        <v>1</v>
      </c>
      <c r="F437" t="s">
        <v>46</v>
      </c>
      <c r="G437" t="s">
        <v>46</v>
      </c>
      <c r="H437" t="s">
        <v>65</v>
      </c>
      <c r="I437" t="s">
        <v>339</v>
      </c>
    </row>
    <row r="438" spans="1:9">
      <c r="A438" t="s">
        <v>788</v>
      </c>
      <c r="B438" t="s">
        <v>1224</v>
      </c>
      <c r="C438" t="s">
        <v>160</v>
      </c>
      <c r="D438" t="s">
        <v>575</v>
      </c>
      <c r="E438">
        <v>1</v>
      </c>
      <c r="F438" t="s">
        <v>46</v>
      </c>
      <c r="G438" t="s">
        <v>46</v>
      </c>
      <c r="H438" t="s">
        <v>65</v>
      </c>
      <c r="I438" t="s">
        <v>339</v>
      </c>
    </row>
    <row r="439" spans="1:9">
      <c r="A439" t="s">
        <v>788</v>
      </c>
      <c r="B439" t="s">
        <v>1225</v>
      </c>
      <c r="C439" t="s">
        <v>160</v>
      </c>
      <c r="D439" t="s">
        <v>576</v>
      </c>
      <c r="E439">
        <v>1</v>
      </c>
      <c r="F439" t="s">
        <v>46</v>
      </c>
      <c r="G439" t="s">
        <v>46</v>
      </c>
      <c r="H439" t="s">
        <v>65</v>
      </c>
      <c r="I439" t="s">
        <v>339</v>
      </c>
    </row>
    <row r="440" spans="1:9">
      <c r="A440" t="s">
        <v>788</v>
      </c>
      <c r="B440" t="s">
        <v>1226</v>
      </c>
      <c r="C440" t="s">
        <v>160</v>
      </c>
      <c r="D440" t="s">
        <v>577</v>
      </c>
      <c r="E440">
        <v>1</v>
      </c>
      <c r="F440" t="s">
        <v>46</v>
      </c>
      <c r="G440" t="s">
        <v>46</v>
      </c>
      <c r="H440" t="s">
        <v>65</v>
      </c>
      <c r="I440" t="s">
        <v>339</v>
      </c>
    </row>
    <row r="441" spans="1:9">
      <c r="A441" t="s">
        <v>788</v>
      </c>
      <c r="B441" t="s">
        <v>1227</v>
      </c>
      <c r="C441" t="s">
        <v>44</v>
      </c>
      <c r="D441" t="s">
        <v>579</v>
      </c>
      <c r="E441">
        <v>1</v>
      </c>
      <c r="F441" t="s">
        <v>46</v>
      </c>
      <c r="G441" t="s">
        <v>46</v>
      </c>
      <c r="H441" t="s">
        <v>44</v>
      </c>
      <c r="I441" t="s">
        <v>351</v>
      </c>
    </row>
    <row r="442" spans="1:9">
      <c r="A442" t="s">
        <v>788</v>
      </c>
      <c r="B442" t="s">
        <v>1228</v>
      </c>
      <c r="C442" t="s">
        <v>63</v>
      </c>
      <c r="D442" t="s">
        <v>580</v>
      </c>
      <c r="E442">
        <v>1</v>
      </c>
      <c r="F442" t="s">
        <v>46</v>
      </c>
      <c r="G442" t="s">
        <v>46</v>
      </c>
      <c r="H442" t="s">
        <v>65</v>
      </c>
      <c r="I442" t="s">
        <v>339</v>
      </c>
    </row>
    <row r="443" spans="1:9">
      <c r="A443" t="s">
        <v>788</v>
      </c>
      <c r="B443" t="s">
        <v>1229</v>
      </c>
      <c r="C443" t="s">
        <v>85</v>
      </c>
      <c r="D443" t="s">
        <v>581</v>
      </c>
      <c r="E443">
        <v>1</v>
      </c>
      <c r="F443" t="s">
        <v>46</v>
      </c>
      <c r="G443" t="s">
        <v>46</v>
      </c>
      <c r="H443" t="s">
        <v>65</v>
      </c>
      <c r="I443" t="s">
        <v>339</v>
      </c>
    </row>
    <row r="444" spans="1:9">
      <c r="A444" t="s">
        <v>788</v>
      </c>
      <c r="B444" t="s">
        <v>1230</v>
      </c>
      <c r="C444" t="s">
        <v>85</v>
      </c>
      <c r="D444" t="s">
        <v>582</v>
      </c>
      <c r="E444">
        <v>1</v>
      </c>
      <c r="F444" t="s">
        <v>46</v>
      </c>
      <c r="G444" t="s">
        <v>46</v>
      </c>
      <c r="H444" t="s">
        <v>65</v>
      </c>
      <c r="I444" t="s">
        <v>339</v>
      </c>
    </row>
    <row r="445" spans="1:9">
      <c r="A445" t="s">
        <v>788</v>
      </c>
      <c r="B445" t="s">
        <v>1231</v>
      </c>
      <c r="C445" t="s">
        <v>85</v>
      </c>
      <c r="D445" t="s">
        <v>583</v>
      </c>
      <c r="E445">
        <v>1</v>
      </c>
      <c r="F445" t="s">
        <v>46</v>
      </c>
      <c r="G445" t="s">
        <v>46</v>
      </c>
      <c r="H445" t="s">
        <v>65</v>
      </c>
      <c r="I445" t="s">
        <v>339</v>
      </c>
    </row>
    <row r="446" spans="1:9">
      <c r="A446" t="s">
        <v>788</v>
      </c>
      <c r="B446" t="s">
        <v>1232</v>
      </c>
      <c r="C446" t="s">
        <v>89</v>
      </c>
      <c r="D446" t="s">
        <v>584</v>
      </c>
      <c r="E446">
        <v>1</v>
      </c>
      <c r="F446" t="s">
        <v>46</v>
      </c>
      <c r="G446" t="s">
        <v>46</v>
      </c>
      <c r="H446" t="s">
        <v>65</v>
      </c>
      <c r="I446" t="s">
        <v>339</v>
      </c>
    </row>
    <row r="447" spans="1:9">
      <c r="A447" t="s">
        <v>788</v>
      </c>
      <c r="B447" t="s">
        <v>1233</v>
      </c>
      <c r="C447" t="s">
        <v>89</v>
      </c>
      <c r="D447" t="s">
        <v>585</v>
      </c>
      <c r="E447">
        <v>1</v>
      </c>
      <c r="F447" t="s">
        <v>46</v>
      </c>
      <c r="G447" t="s">
        <v>46</v>
      </c>
      <c r="H447" t="s">
        <v>65</v>
      </c>
      <c r="I447" t="s">
        <v>339</v>
      </c>
    </row>
    <row r="448" spans="1:9">
      <c r="A448" t="s">
        <v>788</v>
      </c>
      <c r="B448" t="s">
        <v>1234</v>
      </c>
      <c r="C448" t="s">
        <v>195</v>
      </c>
      <c r="D448" t="s">
        <v>586</v>
      </c>
      <c r="E448">
        <v>1</v>
      </c>
      <c r="F448" t="s">
        <v>46</v>
      </c>
      <c r="G448" t="s">
        <v>46</v>
      </c>
      <c r="H448" t="s">
        <v>65</v>
      </c>
      <c r="I448" t="s">
        <v>339</v>
      </c>
    </row>
    <row r="449" spans="1:9">
      <c r="A449" t="s">
        <v>788</v>
      </c>
      <c r="B449" t="s">
        <v>1235</v>
      </c>
      <c r="C449" t="s">
        <v>195</v>
      </c>
      <c r="D449" t="s">
        <v>587</v>
      </c>
      <c r="E449">
        <v>1</v>
      </c>
      <c r="F449" t="s">
        <v>46</v>
      </c>
      <c r="G449" t="s">
        <v>46</v>
      </c>
      <c r="H449" t="s">
        <v>65</v>
      </c>
      <c r="I449" t="s">
        <v>339</v>
      </c>
    </row>
    <row r="450" spans="1:9">
      <c r="A450" t="s">
        <v>788</v>
      </c>
      <c r="B450" t="s">
        <v>1236</v>
      </c>
      <c r="C450" t="s">
        <v>195</v>
      </c>
      <c r="D450" t="s">
        <v>588</v>
      </c>
      <c r="E450">
        <v>1</v>
      </c>
      <c r="F450" t="s">
        <v>46</v>
      </c>
      <c r="G450" t="s">
        <v>46</v>
      </c>
      <c r="H450" t="s">
        <v>65</v>
      </c>
      <c r="I450" t="s">
        <v>339</v>
      </c>
    </row>
    <row r="451" spans="1:9">
      <c r="A451" t="s">
        <v>788</v>
      </c>
      <c r="B451" t="s">
        <v>1237</v>
      </c>
      <c r="C451" t="s">
        <v>88</v>
      </c>
      <c r="D451" t="s">
        <v>589</v>
      </c>
      <c r="E451">
        <v>1</v>
      </c>
      <c r="F451" t="s">
        <v>46</v>
      </c>
      <c r="G451" t="s">
        <v>46</v>
      </c>
      <c r="H451" t="s">
        <v>40</v>
      </c>
      <c r="I451" t="s">
        <v>383</v>
      </c>
    </row>
    <row r="452" spans="1:9">
      <c r="A452" t="s">
        <v>788</v>
      </c>
      <c r="B452" t="s">
        <v>1238</v>
      </c>
      <c r="C452" t="s">
        <v>160</v>
      </c>
      <c r="D452" t="s">
        <v>590</v>
      </c>
      <c r="E452">
        <v>1</v>
      </c>
      <c r="F452" t="s">
        <v>46</v>
      </c>
      <c r="G452" t="s">
        <v>46</v>
      </c>
      <c r="H452" t="s">
        <v>65</v>
      </c>
      <c r="I452" t="s">
        <v>339</v>
      </c>
    </row>
    <row r="453" spans="1:9">
      <c r="A453" t="s">
        <v>788</v>
      </c>
      <c r="B453" t="s">
        <v>1239</v>
      </c>
      <c r="C453" t="s">
        <v>265</v>
      </c>
      <c r="D453" t="s">
        <v>591</v>
      </c>
      <c r="E453">
        <v>1</v>
      </c>
      <c r="F453" t="s">
        <v>46</v>
      </c>
      <c r="G453" t="s">
        <v>46</v>
      </c>
      <c r="H453" t="s">
        <v>266</v>
      </c>
      <c r="I453" t="s">
        <v>383</v>
      </c>
    </row>
    <row r="454" spans="1:9">
      <c r="A454" t="s">
        <v>788</v>
      </c>
      <c r="B454" t="s">
        <v>1240</v>
      </c>
      <c r="C454" t="s">
        <v>265</v>
      </c>
      <c r="D454" t="s">
        <v>592</v>
      </c>
      <c r="E454">
        <v>1</v>
      </c>
      <c r="F454" t="s">
        <v>46</v>
      </c>
      <c r="G454" t="s">
        <v>46</v>
      </c>
      <c r="H454" t="s">
        <v>266</v>
      </c>
      <c r="I454" t="s">
        <v>383</v>
      </c>
    </row>
    <row r="455" spans="1:9">
      <c r="A455" t="s">
        <v>788</v>
      </c>
      <c r="B455" t="s">
        <v>1241</v>
      </c>
      <c r="C455" t="s">
        <v>265</v>
      </c>
      <c r="D455" t="s">
        <v>593</v>
      </c>
      <c r="E455">
        <v>1</v>
      </c>
      <c r="F455" t="s">
        <v>46</v>
      </c>
      <c r="G455" t="s">
        <v>46</v>
      </c>
      <c r="H455" t="s">
        <v>266</v>
      </c>
      <c r="I455" t="s">
        <v>383</v>
      </c>
    </row>
    <row r="456" spans="1:9">
      <c r="A456" t="s">
        <v>788</v>
      </c>
      <c r="B456" t="s">
        <v>1242</v>
      </c>
      <c r="D456" t="s">
        <v>594</v>
      </c>
      <c r="E456">
        <v>1</v>
      </c>
      <c r="F456" t="s">
        <v>46</v>
      </c>
      <c r="G456" t="s">
        <v>46</v>
      </c>
      <c r="H456" t="s">
        <v>58</v>
      </c>
      <c r="I456" t="s">
        <v>58</v>
      </c>
    </row>
    <row r="457" spans="1:9">
      <c r="A457" t="s">
        <v>788</v>
      </c>
      <c r="B457" t="s">
        <v>1243</v>
      </c>
      <c r="D457" t="s">
        <v>595</v>
      </c>
      <c r="E457">
        <v>1</v>
      </c>
      <c r="F457" t="s">
        <v>46</v>
      </c>
      <c r="G457" t="s">
        <v>46</v>
      </c>
      <c r="H457" t="s">
        <v>58</v>
      </c>
      <c r="I457" t="s">
        <v>58</v>
      </c>
    </row>
    <row r="458" spans="1:9">
      <c r="A458" t="s">
        <v>788</v>
      </c>
      <c r="B458" t="s">
        <v>1244</v>
      </c>
      <c r="D458" t="s">
        <v>596</v>
      </c>
      <c r="E458">
        <v>1</v>
      </c>
      <c r="F458" t="s">
        <v>46</v>
      </c>
      <c r="G458" t="s">
        <v>46</v>
      </c>
      <c r="H458" t="s">
        <v>211</v>
      </c>
      <c r="I458" t="s">
        <v>256</v>
      </c>
    </row>
    <row r="459" spans="1:9">
      <c r="A459" t="s">
        <v>788</v>
      </c>
      <c r="B459" t="s">
        <v>1245</v>
      </c>
      <c r="D459" t="s">
        <v>597</v>
      </c>
      <c r="E459">
        <v>1</v>
      </c>
      <c r="F459" t="s">
        <v>49</v>
      </c>
      <c r="G459" t="s">
        <v>50</v>
      </c>
      <c r="H459" t="s">
        <v>51</v>
      </c>
      <c r="I459" t="s">
        <v>51</v>
      </c>
    </row>
    <row r="460" spans="1:9">
      <c r="A460" t="s">
        <v>788</v>
      </c>
      <c r="B460" t="s">
        <v>1246</v>
      </c>
      <c r="D460" t="s">
        <v>598</v>
      </c>
      <c r="E460">
        <v>1</v>
      </c>
      <c r="F460" t="s">
        <v>49</v>
      </c>
      <c r="G460" t="s">
        <v>50</v>
      </c>
      <c r="H460" t="s">
        <v>51</v>
      </c>
      <c r="I460" t="s">
        <v>599</v>
      </c>
    </row>
    <row r="461" spans="1:9">
      <c r="A461" t="s">
        <v>788</v>
      </c>
      <c r="B461" t="s">
        <v>1247</v>
      </c>
      <c r="D461" t="s">
        <v>600</v>
      </c>
      <c r="E461">
        <v>1</v>
      </c>
      <c r="F461" t="s">
        <v>42</v>
      </c>
      <c r="G461" t="s">
        <v>42</v>
      </c>
      <c r="H461" t="s">
        <v>42</v>
      </c>
      <c r="I461" t="s">
        <v>260</v>
      </c>
    </row>
    <row r="462" spans="1:9">
      <c r="A462" t="s">
        <v>788</v>
      </c>
      <c r="B462" t="s">
        <v>1248</v>
      </c>
      <c r="D462" t="s">
        <v>601</v>
      </c>
      <c r="E462">
        <v>1</v>
      </c>
      <c r="F462" t="s">
        <v>42</v>
      </c>
      <c r="G462" t="s">
        <v>42</v>
      </c>
      <c r="H462" t="s">
        <v>42</v>
      </c>
      <c r="I462" t="s">
        <v>260</v>
      </c>
    </row>
    <row r="463" spans="1:9">
      <c r="A463" t="s">
        <v>788</v>
      </c>
      <c r="B463" t="s">
        <v>1249</v>
      </c>
      <c r="D463" t="s">
        <v>602</v>
      </c>
      <c r="E463">
        <v>1</v>
      </c>
      <c r="F463" t="s">
        <v>49</v>
      </c>
      <c r="G463" t="s">
        <v>52</v>
      </c>
      <c r="H463" t="s">
        <v>52</v>
      </c>
      <c r="I463" t="s">
        <v>603</v>
      </c>
    </row>
    <row r="464" spans="1:9">
      <c r="A464" t="s">
        <v>788</v>
      </c>
      <c r="B464" t="s">
        <v>1250</v>
      </c>
      <c r="C464" t="s">
        <v>195</v>
      </c>
      <c r="D464" t="s">
        <v>604</v>
      </c>
      <c r="E464">
        <v>1</v>
      </c>
      <c r="F464" t="s">
        <v>46</v>
      </c>
      <c r="G464" t="s">
        <v>46</v>
      </c>
      <c r="H464" t="s">
        <v>65</v>
      </c>
      <c r="I464" t="s">
        <v>339</v>
      </c>
    </row>
    <row r="465" spans="1:9">
      <c r="A465" t="s">
        <v>788</v>
      </c>
      <c r="B465" t="s">
        <v>1251</v>
      </c>
      <c r="C465" t="s">
        <v>265</v>
      </c>
      <c r="D465" t="s">
        <v>605</v>
      </c>
      <c r="E465">
        <v>1</v>
      </c>
      <c r="F465" t="s">
        <v>46</v>
      </c>
      <c r="G465" t="s">
        <v>46</v>
      </c>
      <c r="H465" t="s">
        <v>266</v>
      </c>
      <c r="I465" t="s">
        <v>383</v>
      </c>
    </row>
    <row r="466" spans="1:9">
      <c r="A466" t="s">
        <v>788</v>
      </c>
      <c r="B466" t="s">
        <v>1252</v>
      </c>
      <c r="C466" t="s">
        <v>75</v>
      </c>
      <c r="D466" t="s">
        <v>607</v>
      </c>
      <c r="E466">
        <v>1</v>
      </c>
      <c r="F466" t="s">
        <v>46</v>
      </c>
      <c r="G466" t="s">
        <v>46</v>
      </c>
      <c r="H466" t="s">
        <v>44</v>
      </c>
      <c r="I466" t="s">
        <v>339</v>
      </c>
    </row>
    <row r="467" spans="1:9">
      <c r="A467" t="s">
        <v>788</v>
      </c>
      <c r="B467" t="s">
        <v>1253</v>
      </c>
      <c r="C467" t="s">
        <v>265</v>
      </c>
      <c r="D467" t="s">
        <v>608</v>
      </c>
      <c r="E467">
        <v>1</v>
      </c>
      <c r="F467" t="s">
        <v>46</v>
      </c>
      <c r="G467" t="s">
        <v>46</v>
      </c>
      <c r="H467" t="s">
        <v>266</v>
      </c>
      <c r="I467" t="s">
        <v>383</v>
      </c>
    </row>
    <row r="468" spans="1:9">
      <c r="A468" t="s">
        <v>788</v>
      </c>
      <c r="B468" t="s">
        <v>1254</v>
      </c>
      <c r="D468" t="s">
        <v>609</v>
      </c>
      <c r="E468">
        <v>1</v>
      </c>
      <c r="F468" t="s">
        <v>154</v>
      </c>
      <c r="G468" t="s">
        <v>154</v>
      </c>
      <c r="H468" t="s">
        <v>155</v>
      </c>
      <c r="I468" t="s">
        <v>225</v>
      </c>
    </row>
    <row r="469" spans="1:9">
      <c r="A469" t="s">
        <v>788</v>
      </c>
      <c r="B469" t="s">
        <v>1255</v>
      </c>
      <c r="D469" t="s">
        <v>298</v>
      </c>
      <c r="E469">
        <v>1</v>
      </c>
      <c r="F469" t="s">
        <v>154</v>
      </c>
      <c r="G469" t="s">
        <v>154</v>
      </c>
      <c r="H469" t="s">
        <v>155</v>
      </c>
      <c r="I469" t="s">
        <v>225</v>
      </c>
    </row>
    <row r="470" spans="1:9">
      <c r="A470" t="s">
        <v>788</v>
      </c>
      <c r="B470" t="s">
        <v>1256</v>
      </c>
      <c r="C470" t="s">
        <v>93</v>
      </c>
      <c r="D470" t="s">
        <v>610</v>
      </c>
      <c r="E470">
        <v>1</v>
      </c>
      <c r="F470" t="s">
        <v>46</v>
      </c>
      <c r="G470" t="s">
        <v>46</v>
      </c>
      <c r="H470" t="s">
        <v>65</v>
      </c>
      <c r="I470" t="s">
        <v>339</v>
      </c>
    </row>
    <row r="471" spans="1:9">
      <c r="A471" t="s">
        <v>788</v>
      </c>
      <c r="B471" t="s">
        <v>1257</v>
      </c>
      <c r="C471" t="s">
        <v>142</v>
      </c>
      <c r="D471" t="s">
        <v>321</v>
      </c>
      <c r="E471">
        <v>1</v>
      </c>
      <c r="F471" t="s">
        <v>46</v>
      </c>
      <c r="G471" t="s">
        <v>46</v>
      </c>
      <c r="H471" t="s">
        <v>65</v>
      </c>
      <c r="I471" t="s">
        <v>339</v>
      </c>
    </row>
    <row r="472" spans="1:9">
      <c r="A472" t="s">
        <v>788</v>
      </c>
      <c r="B472" t="s">
        <v>1258</v>
      </c>
      <c r="C472" t="s">
        <v>85</v>
      </c>
      <c r="D472" t="s">
        <v>613</v>
      </c>
      <c r="E472">
        <v>1</v>
      </c>
      <c r="F472" t="s">
        <v>46</v>
      </c>
      <c r="G472" t="s">
        <v>46</v>
      </c>
      <c r="H472" t="s">
        <v>65</v>
      </c>
      <c r="I472" t="s">
        <v>339</v>
      </c>
    </row>
    <row r="473" spans="1:9">
      <c r="A473" t="s">
        <v>788</v>
      </c>
      <c r="B473" t="s">
        <v>1259</v>
      </c>
      <c r="C473" t="s">
        <v>85</v>
      </c>
      <c r="D473" t="s">
        <v>614</v>
      </c>
      <c r="E473">
        <v>1</v>
      </c>
      <c r="F473" t="s">
        <v>46</v>
      </c>
      <c r="G473" t="s">
        <v>46</v>
      </c>
      <c r="H473" t="s">
        <v>65</v>
      </c>
      <c r="I473" t="s">
        <v>339</v>
      </c>
    </row>
    <row r="474" spans="1:9">
      <c r="A474" t="s">
        <v>788</v>
      </c>
      <c r="B474" t="s">
        <v>1260</v>
      </c>
      <c r="D474" t="s">
        <v>615</v>
      </c>
      <c r="E474">
        <v>1</v>
      </c>
      <c r="F474" t="s">
        <v>46</v>
      </c>
      <c r="G474" t="s">
        <v>114</v>
      </c>
      <c r="H474" t="s">
        <v>114</v>
      </c>
      <c r="I474" t="s">
        <v>616</v>
      </c>
    </row>
    <row r="475" spans="1:9">
      <c r="A475" t="s">
        <v>788</v>
      </c>
      <c r="B475" t="s">
        <v>1261</v>
      </c>
      <c r="D475" t="s">
        <v>617</v>
      </c>
      <c r="E475">
        <v>1</v>
      </c>
      <c r="F475" t="s">
        <v>46</v>
      </c>
      <c r="G475" t="s">
        <v>114</v>
      </c>
      <c r="H475" t="s">
        <v>114</v>
      </c>
      <c r="I475" t="s">
        <v>351</v>
      </c>
    </row>
    <row r="476" spans="1:9">
      <c r="A476" t="s">
        <v>788</v>
      </c>
      <c r="B476" t="s">
        <v>1262</v>
      </c>
      <c r="D476" t="s">
        <v>618</v>
      </c>
      <c r="E476">
        <v>1</v>
      </c>
      <c r="F476" t="s">
        <v>46</v>
      </c>
      <c r="G476" t="s">
        <v>114</v>
      </c>
      <c r="H476" t="s">
        <v>114</v>
      </c>
      <c r="I476" t="s">
        <v>173</v>
      </c>
    </row>
    <row r="477" spans="1:9">
      <c r="A477" t="s">
        <v>788</v>
      </c>
      <c r="B477" t="s">
        <v>1263</v>
      </c>
      <c r="C477" t="s">
        <v>619</v>
      </c>
      <c r="D477" t="s">
        <v>620</v>
      </c>
      <c r="E477">
        <v>1</v>
      </c>
      <c r="F477" t="s">
        <v>46</v>
      </c>
      <c r="G477" t="s">
        <v>70</v>
      </c>
      <c r="H477" t="s">
        <v>69</v>
      </c>
      <c r="I477" t="s">
        <v>619</v>
      </c>
    </row>
    <row r="478" spans="1:9">
      <c r="A478" t="s">
        <v>788</v>
      </c>
      <c r="B478" t="s">
        <v>1264</v>
      </c>
      <c r="D478" t="s">
        <v>621</v>
      </c>
      <c r="E478">
        <v>1</v>
      </c>
      <c r="F478" t="s">
        <v>42</v>
      </c>
      <c r="G478" t="s">
        <v>42</v>
      </c>
      <c r="H478" t="s">
        <v>42</v>
      </c>
      <c r="I478" t="s">
        <v>622</v>
      </c>
    </row>
    <row r="479" spans="1:9">
      <c r="A479" t="s">
        <v>788</v>
      </c>
      <c r="B479" t="s">
        <v>1265</v>
      </c>
      <c r="D479" t="s">
        <v>623</v>
      </c>
      <c r="E479">
        <v>1</v>
      </c>
      <c r="F479" t="s">
        <v>49</v>
      </c>
      <c r="G479" t="s">
        <v>50</v>
      </c>
      <c r="H479" t="s">
        <v>51</v>
      </c>
      <c r="I479" t="s">
        <v>51</v>
      </c>
    </row>
    <row r="480" spans="1:9">
      <c r="A480" t="s">
        <v>788</v>
      </c>
      <c r="B480" t="s">
        <v>1266</v>
      </c>
      <c r="D480" t="s">
        <v>624</v>
      </c>
      <c r="E480">
        <v>1</v>
      </c>
      <c r="F480" t="s">
        <v>49</v>
      </c>
      <c r="G480" t="s">
        <v>50</v>
      </c>
      <c r="H480" t="s">
        <v>51</v>
      </c>
      <c r="I480" t="s">
        <v>51</v>
      </c>
    </row>
    <row r="481" spans="1:9">
      <c r="A481" t="s">
        <v>788</v>
      </c>
      <c r="B481" t="s">
        <v>1267</v>
      </c>
      <c r="C481" t="s">
        <v>69</v>
      </c>
      <c r="D481" t="s">
        <v>625</v>
      </c>
      <c r="E481">
        <v>1</v>
      </c>
      <c r="F481" t="s">
        <v>46</v>
      </c>
      <c r="G481" t="s">
        <v>70</v>
      </c>
      <c r="H481" t="s">
        <v>69</v>
      </c>
      <c r="I481" t="s">
        <v>82</v>
      </c>
    </row>
    <row r="482" spans="1:9">
      <c r="A482" t="s">
        <v>788</v>
      </c>
      <c r="B482" t="s">
        <v>1268</v>
      </c>
      <c r="C482" t="s">
        <v>88</v>
      </c>
      <c r="D482" t="s">
        <v>612</v>
      </c>
      <c r="E482">
        <v>1</v>
      </c>
      <c r="F482" t="s">
        <v>46</v>
      </c>
      <c r="G482" t="s">
        <v>46</v>
      </c>
      <c r="H482" t="s">
        <v>65</v>
      </c>
      <c r="I482" t="s">
        <v>339</v>
      </c>
    </row>
    <row r="483" spans="1:9">
      <c r="A483" t="s">
        <v>788</v>
      </c>
      <c r="B483" t="s">
        <v>1269</v>
      </c>
      <c r="C483" t="s">
        <v>160</v>
      </c>
      <c r="D483" t="s">
        <v>104</v>
      </c>
      <c r="E483">
        <v>1</v>
      </c>
      <c r="F483" t="s">
        <v>46</v>
      </c>
      <c r="G483" t="s">
        <v>46</v>
      </c>
      <c r="H483" t="s">
        <v>65</v>
      </c>
      <c r="I483" t="s">
        <v>339</v>
      </c>
    </row>
    <row r="484" spans="1:9">
      <c r="A484" t="s">
        <v>788</v>
      </c>
      <c r="B484" t="s">
        <v>1270</v>
      </c>
      <c r="C484" t="s">
        <v>79</v>
      </c>
      <c r="D484" t="s">
        <v>626</v>
      </c>
      <c r="E484">
        <v>1</v>
      </c>
      <c r="F484" t="s">
        <v>46</v>
      </c>
      <c r="G484" t="s">
        <v>46</v>
      </c>
      <c r="H484" t="s">
        <v>65</v>
      </c>
      <c r="I484" t="s">
        <v>339</v>
      </c>
    </row>
    <row r="485" spans="1:9">
      <c r="A485" t="s">
        <v>788</v>
      </c>
      <c r="B485" t="s">
        <v>1271</v>
      </c>
      <c r="C485" t="s">
        <v>88</v>
      </c>
      <c r="D485" t="s">
        <v>627</v>
      </c>
      <c r="E485">
        <v>1</v>
      </c>
      <c r="F485" t="s">
        <v>46</v>
      </c>
      <c r="G485" t="s">
        <v>46</v>
      </c>
      <c r="H485" t="s">
        <v>65</v>
      </c>
      <c r="I485" t="s">
        <v>339</v>
      </c>
    </row>
    <row r="486" spans="1:9">
      <c r="A486" t="s">
        <v>788</v>
      </c>
      <c r="B486" t="s">
        <v>1272</v>
      </c>
      <c r="C486" t="s">
        <v>195</v>
      </c>
      <c r="D486" t="s">
        <v>624</v>
      </c>
      <c r="E486">
        <v>1</v>
      </c>
      <c r="F486" t="s">
        <v>46</v>
      </c>
      <c r="G486" t="s">
        <v>46</v>
      </c>
      <c r="H486" t="s">
        <v>65</v>
      </c>
      <c r="I486" t="s">
        <v>339</v>
      </c>
    </row>
    <row r="487" spans="1:9">
      <c r="A487" t="s">
        <v>788</v>
      </c>
      <c r="B487" t="s">
        <v>1273</v>
      </c>
      <c r="C487" t="s">
        <v>69</v>
      </c>
      <c r="D487" t="s">
        <v>628</v>
      </c>
      <c r="E487">
        <v>1</v>
      </c>
      <c r="F487" t="s">
        <v>46</v>
      </c>
      <c r="G487" t="s">
        <v>70</v>
      </c>
      <c r="H487" t="s">
        <v>69</v>
      </c>
      <c r="I487" t="s">
        <v>82</v>
      </c>
    </row>
    <row r="488" spans="1:9">
      <c r="A488" t="s">
        <v>788</v>
      </c>
      <c r="B488" t="s">
        <v>1274</v>
      </c>
      <c r="D488" t="s">
        <v>629</v>
      </c>
      <c r="E488">
        <v>1</v>
      </c>
      <c r="F488" t="s">
        <v>49</v>
      </c>
      <c r="G488" t="s">
        <v>107</v>
      </c>
      <c r="H488" t="s">
        <v>107</v>
      </c>
      <c r="I488" t="s">
        <v>185</v>
      </c>
    </row>
    <row r="489" spans="1:9">
      <c r="A489" t="s">
        <v>788</v>
      </c>
      <c r="B489" t="s">
        <v>1275</v>
      </c>
      <c r="D489" t="s">
        <v>630</v>
      </c>
      <c r="E489">
        <v>1</v>
      </c>
      <c r="F489" t="s">
        <v>42</v>
      </c>
      <c r="G489" t="s">
        <v>42</v>
      </c>
      <c r="H489" t="s">
        <v>42</v>
      </c>
      <c r="I489" t="s">
        <v>260</v>
      </c>
    </row>
    <row r="490" spans="1:9">
      <c r="A490" t="s">
        <v>788</v>
      </c>
      <c r="B490" t="s">
        <v>1276</v>
      </c>
      <c r="D490" t="s">
        <v>631</v>
      </c>
      <c r="E490">
        <v>1</v>
      </c>
      <c r="F490" t="s">
        <v>49</v>
      </c>
      <c r="G490" t="s">
        <v>50</v>
      </c>
      <c r="H490" t="s">
        <v>51</v>
      </c>
      <c r="I490" t="s">
        <v>632</v>
      </c>
    </row>
    <row r="491" spans="1:9">
      <c r="A491" t="s">
        <v>788</v>
      </c>
      <c r="B491" t="s">
        <v>1277</v>
      </c>
      <c r="D491" t="s">
        <v>633</v>
      </c>
      <c r="E491">
        <v>1</v>
      </c>
      <c r="F491" t="s">
        <v>49</v>
      </c>
      <c r="G491" t="s">
        <v>50</v>
      </c>
      <c r="H491" t="s">
        <v>111</v>
      </c>
      <c r="I491" t="s">
        <v>350</v>
      </c>
    </row>
    <row r="492" spans="1:9">
      <c r="A492" t="s">
        <v>788</v>
      </c>
      <c r="B492" t="s">
        <v>1278</v>
      </c>
      <c r="C492" t="s">
        <v>73</v>
      </c>
      <c r="D492" t="s">
        <v>634</v>
      </c>
      <c r="E492">
        <v>1</v>
      </c>
      <c r="F492" t="s">
        <v>46</v>
      </c>
      <c r="G492" t="s">
        <v>46</v>
      </c>
      <c r="H492" t="s">
        <v>65</v>
      </c>
      <c r="I492" t="s">
        <v>339</v>
      </c>
    </row>
    <row r="493" spans="1:9">
      <c r="A493" t="s">
        <v>788</v>
      </c>
      <c r="B493" t="s">
        <v>1279</v>
      </c>
      <c r="C493" t="s">
        <v>93</v>
      </c>
      <c r="D493" t="s">
        <v>635</v>
      </c>
      <c r="E493">
        <v>1</v>
      </c>
      <c r="F493" t="s">
        <v>46</v>
      </c>
      <c r="G493" t="s">
        <v>46</v>
      </c>
      <c r="H493" t="s">
        <v>65</v>
      </c>
      <c r="I493" t="s">
        <v>339</v>
      </c>
    </row>
    <row r="494" spans="1:9">
      <c r="A494" t="s">
        <v>788</v>
      </c>
      <c r="B494" t="s">
        <v>1280</v>
      </c>
      <c r="C494" t="s">
        <v>73</v>
      </c>
      <c r="D494" t="s">
        <v>636</v>
      </c>
      <c r="E494">
        <v>1</v>
      </c>
      <c r="F494" t="s">
        <v>46</v>
      </c>
      <c r="G494" t="s">
        <v>46</v>
      </c>
      <c r="H494" t="s">
        <v>65</v>
      </c>
      <c r="I494" t="s">
        <v>339</v>
      </c>
    </row>
    <row r="495" spans="1:9">
      <c r="A495" t="s">
        <v>788</v>
      </c>
      <c r="B495" t="s">
        <v>1281</v>
      </c>
      <c r="C495" t="s">
        <v>88</v>
      </c>
      <c r="D495" t="s">
        <v>637</v>
      </c>
      <c r="E495">
        <v>1</v>
      </c>
      <c r="F495" t="s">
        <v>46</v>
      </c>
      <c r="G495" t="s">
        <v>46</v>
      </c>
      <c r="H495" t="s">
        <v>65</v>
      </c>
      <c r="I495" t="s">
        <v>339</v>
      </c>
    </row>
    <row r="496" spans="1:9">
      <c r="A496" t="s">
        <v>788</v>
      </c>
      <c r="B496" t="s">
        <v>1282</v>
      </c>
      <c r="C496" t="s">
        <v>69</v>
      </c>
      <c r="D496" t="s">
        <v>638</v>
      </c>
      <c r="E496">
        <v>1</v>
      </c>
      <c r="F496" t="s">
        <v>46</v>
      </c>
      <c r="G496" t="s">
        <v>46</v>
      </c>
      <c r="H496" t="s">
        <v>69</v>
      </c>
      <c r="I496" t="s">
        <v>339</v>
      </c>
    </row>
    <row r="497" spans="1:9">
      <c r="A497" t="s">
        <v>788</v>
      </c>
      <c r="B497" t="s">
        <v>1283</v>
      </c>
      <c r="C497" t="s">
        <v>73</v>
      </c>
      <c r="D497" t="s">
        <v>639</v>
      </c>
      <c r="E497">
        <v>1</v>
      </c>
      <c r="F497" t="s">
        <v>46</v>
      </c>
      <c r="G497" t="s">
        <v>46</v>
      </c>
      <c r="H497" t="s">
        <v>65</v>
      </c>
      <c r="I497" t="s">
        <v>339</v>
      </c>
    </row>
    <row r="498" spans="1:9">
      <c r="A498" t="s">
        <v>788</v>
      </c>
      <c r="B498" t="s">
        <v>1284</v>
      </c>
      <c r="C498" t="s">
        <v>73</v>
      </c>
      <c r="D498" t="s">
        <v>640</v>
      </c>
      <c r="E498">
        <v>1</v>
      </c>
      <c r="F498" t="s">
        <v>46</v>
      </c>
      <c r="G498" t="s">
        <v>46</v>
      </c>
      <c r="H498" t="s">
        <v>65</v>
      </c>
      <c r="I498" t="s">
        <v>339</v>
      </c>
    </row>
    <row r="499" spans="1:9">
      <c r="A499" t="s">
        <v>788</v>
      </c>
      <c r="B499" t="s">
        <v>1285</v>
      </c>
      <c r="C499" t="s">
        <v>93</v>
      </c>
      <c r="D499" t="s">
        <v>641</v>
      </c>
      <c r="E499">
        <v>1</v>
      </c>
      <c r="F499" t="s">
        <v>46</v>
      </c>
      <c r="G499" t="s">
        <v>46</v>
      </c>
      <c r="H499" t="s">
        <v>65</v>
      </c>
      <c r="I499" t="s">
        <v>339</v>
      </c>
    </row>
    <row r="500" spans="1:9">
      <c r="A500" t="s">
        <v>788</v>
      </c>
      <c r="B500" t="s">
        <v>1286</v>
      </c>
      <c r="C500" t="s">
        <v>93</v>
      </c>
      <c r="D500" t="s">
        <v>642</v>
      </c>
      <c r="E500">
        <v>1</v>
      </c>
      <c r="F500" t="s">
        <v>46</v>
      </c>
      <c r="G500" t="s">
        <v>46</v>
      </c>
      <c r="H500" t="s">
        <v>65</v>
      </c>
      <c r="I500" t="s">
        <v>339</v>
      </c>
    </row>
    <row r="501" spans="1:9">
      <c r="A501" t="s">
        <v>788</v>
      </c>
      <c r="B501" t="s">
        <v>1287</v>
      </c>
      <c r="C501" t="s">
        <v>75</v>
      </c>
      <c r="D501" t="s">
        <v>213</v>
      </c>
      <c r="E501">
        <v>1</v>
      </c>
      <c r="F501" t="s">
        <v>46</v>
      </c>
      <c r="G501" t="s">
        <v>46</v>
      </c>
      <c r="H501" t="s">
        <v>65</v>
      </c>
      <c r="I501" t="s">
        <v>339</v>
      </c>
    </row>
    <row r="502" spans="1:9">
      <c r="A502" t="s">
        <v>788</v>
      </c>
      <c r="B502" t="s">
        <v>1288</v>
      </c>
      <c r="C502" t="s">
        <v>93</v>
      </c>
      <c r="D502" t="s">
        <v>643</v>
      </c>
      <c r="E502">
        <v>1</v>
      </c>
      <c r="F502" t="s">
        <v>46</v>
      </c>
      <c r="G502" t="s">
        <v>46</v>
      </c>
      <c r="H502" t="s">
        <v>65</v>
      </c>
      <c r="I502" t="s">
        <v>339</v>
      </c>
    </row>
    <row r="503" spans="1:9">
      <c r="A503" t="s">
        <v>788</v>
      </c>
      <c r="B503" t="s">
        <v>1289</v>
      </c>
      <c r="C503" t="s">
        <v>93</v>
      </c>
      <c r="D503" t="s">
        <v>644</v>
      </c>
      <c r="E503">
        <v>1</v>
      </c>
      <c r="F503" t="s">
        <v>46</v>
      </c>
      <c r="G503" t="s">
        <v>46</v>
      </c>
      <c r="H503" t="s">
        <v>65</v>
      </c>
      <c r="I503" t="s">
        <v>339</v>
      </c>
    </row>
    <row r="504" spans="1:9">
      <c r="A504" t="s">
        <v>788</v>
      </c>
      <c r="B504" t="s">
        <v>1290</v>
      </c>
      <c r="C504" t="s">
        <v>93</v>
      </c>
      <c r="D504" t="s">
        <v>71</v>
      </c>
      <c r="E504">
        <v>1</v>
      </c>
      <c r="F504" t="s">
        <v>46</v>
      </c>
      <c r="G504" t="s">
        <v>46</v>
      </c>
      <c r="H504" t="s">
        <v>65</v>
      </c>
      <c r="I504" t="s">
        <v>339</v>
      </c>
    </row>
    <row r="505" spans="1:9">
      <c r="A505" t="s">
        <v>788</v>
      </c>
      <c r="B505" t="s">
        <v>1291</v>
      </c>
      <c r="C505" t="s">
        <v>93</v>
      </c>
      <c r="D505" t="s">
        <v>190</v>
      </c>
      <c r="E505">
        <v>1</v>
      </c>
      <c r="F505" t="s">
        <v>46</v>
      </c>
      <c r="G505" t="s">
        <v>46</v>
      </c>
      <c r="H505" t="s">
        <v>65</v>
      </c>
      <c r="I505" t="s">
        <v>339</v>
      </c>
    </row>
    <row r="506" spans="1:9">
      <c r="A506" t="s">
        <v>788</v>
      </c>
      <c r="B506" t="s">
        <v>1292</v>
      </c>
      <c r="C506" t="s">
        <v>93</v>
      </c>
      <c r="D506" t="s">
        <v>645</v>
      </c>
      <c r="E506">
        <v>1</v>
      </c>
      <c r="F506" t="s">
        <v>46</v>
      </c>
      <c r="G506" t="s">
        <v>46</v>
      </c>
      <c r="H506" t="s">
        <v>65</v>
      </c>
      <c r="I506" t="s">
        <v>339</v>
      </c>
    </row>
    <row r="507" spans="1:9">
      <c r="A507" t="s">
        <v>788</v>
      </c>
      <c r="B507" t="s">
        <v>1293</v>
      </c>
      <c r="C507" t="s">
        <v>73</v>
      </c>
      <c r="D507" t="s">
        <v>646</v>
      </c>
      <c r="E507">
        <v>1</v>
      </c>
      <c r="F507" t="s">
        <v>46</v>
      </c>
      <c r="G507" t="s">
        <v>46</v>
      </c>
      <c r="H507" t="s">
        <v>65</v>
      </c>
      <c r="I507" t="s">
        <v>339</v>
      </c>
    </row>
    <row r="508" spans="1:9">
      <c r="A508" t="s">
        <v>788</v>
      </c>
      <c r="B508" t="s">
        <v>1294</v>
      </c>
      <c r="C508" t="s">
        <v>93</v>
      </c>
      <c r="D508" t="s">
        <v>647</v>
      </c>
      <c r="E508">
        <v>1</v>
      </c>
      <c r="F508" t="s">
        <v>46</v>
      </c>
      <c r="G508" t="s">
        <v>46</v>
      </c>
      <c r="H508" t="s">
        <v>65</v>
      </c>
      <c r="I508" t="s">
        <v>339</v>
      </c>
    </row>
    <row r="509" spans="1:9">
      <c r="A509" t="s">
        <v>788</v>
      </c>
      <c r="B509" t="s">
        <v>1295</v>
      </c>
      <c r="C509" t="s">
        <v>93</v>
      </c>
      <c r="D509" t="s">
        <v>307</v>
      </c>
      <c r="E509">
        <v>1</v>
      </c>
      <c r="F509" t="s">
        <v>46</v>
      </c>
      <c r="G509" t="s">
        <v>46</v>
      </c>
      <c r="H509" t="s">
        <v>65</v>
      </c>
      <c r="I509" t="s">
        <v>339</v>
      </c>
    </row>
    <row r="510" spans="1:9">
      <c r="A510" t="s">
        <v>788</v>
      </c>
      <c r="B510" t="s">
        <v>1296</v>
      </c>
      <c r="C510" t="s">
        <v>73</v>
      </c>
      <c r="D510" t="s">
        <v>133</v>
      </c>
      <c r="E510">
        <v>1</v>
      </c>
      <c r="F510" t="s">
        <v>46</v>
      </c>
      <c r="G510" t="s">
        <v>46</v>
      </c>
      <c r="H510" t="s">
        <v>65</v>
      </c>
      <c r="I510" t="s">
        <v>339</v>
      </c>
    </row>
    <row r="511" spans="1:9">
      <c r="A511" t="s">
        <v>788</v>
      </c>
      <c r="B511" t="s">
        <v>1297</v>
      </c>
      <c r="C511" t="s">
        <v>195</v>
      </c>
      <c r="D511" t="s">
        <v>206</v>
      </c>
      <c r="E511">
        <v>1</v>
      </c>
      <c r="F511" t="s">
        <v>46</v>
      </c>
      <c r="G511" t="s">
        <v>46</v>
      </c>
      <c r="H511" t="s">
        <v>65</v>
      </c>
      <c r="I511" t="s">
        <v>339</v>
      </c>
    </row>
    <row r="512" spans="1:9">
      <c r="A512" t="s">
        <v>788</v>
      </c>
      <c r="B512" t="s">
        <v>1298</v>
      </c>
      <c r="C512" t="s">
        <v>73</v>
      </c>
      <c r="D512" t="s">
        <v>648</v>
      </c>
      <c r="E512">
        <v>1</v>
      </c>
      <c r="F512" t="s">
        <v>46</v>
      </c>
      <c r="G512" t="s">
        <v>46</v>
      </c>
      <c r="H512" t="s">
        <v>65</v>
      </c>
      <c r="I512" t="s">
        <v>339</v>
      </c>
    </row>
    <row r="513" spans="1:9">
      <c r="A513" t="s">
        <v>788</v>
      </c>
      <c r="B513" t="s">
        <v>1299</v>
      </c>
      <c r="C513" t="s">
        <v>93</v>
      </c>
      <c r="D513" t="s">
        <v>649</v>
      </c>
      <c r="E513">
        <v>1</v>
      </c>
      <c r="F513" t="s">
        <v>46</v>
      </c>
      <c r="G513" t="s">
        <v>46</v>
      </c>
      <c r="H513" t="s">
        <v>65</v>
      </c>
      <c r="I513" t="s">
        <v>339</v>
      </c>
    </row>
    <row r="514" spans="1:9">
      <c r="A514" t="s">
        <v>788</v>
      </c>
      <c r="B514" t="s">
        <v>1300</v>
      </c>
      <c r="C514" t="s">
        <v>93</v>
      </c>
      <c r="D514" t="s">
        <v>283</v>
      </c>
      <c r="E514">
        <v>1</v>
      </c>
      <c r="F514" t="s">
        <v>46</v>
      </c>
      <c r="G514" t="s">
        <v>46</v>
      </c>
      <c r="H514" t="s">
        <v>65</v>
      </c>
      <c r="I514" t="s">
        <v>339</v>
      </c>
    </row>
    <row r="515" spans="1:9">
      <c r="A515" t="s">
        <v>788</v>
      </c>
      <c r="B515" t="s">
        <v>1301</v>
      </c>
      <c r="C515" t="s">
        <v>93</v>
      </c>
      <c r="D515" t="s">
        <v>650</v>
      </c>
      <c r="E515">
        <v>1</v>
      </c>
      <c r="F515" t="s">
        <v>46</v>
      </c>
      <c r="G515" t="s">
        <v>46</v>
      </c>
      <c r="H515" t="s">
        <v>65</v>
      </c>
      <c r="I515" t="s">
        <v>339</v>
      </c>
    </row>
    <row r="516" spans="1:9">
      <c r="A516" t="s">
        <v>788</v>
      </c>
      <c r="B516" t="s">
        <v>1302</v>
      </c>
      <c r="C516" t="s">
        <v>73</v>
      </c>
      <c r="D516" t="s">
        <v>651</v>
      </c>
      <c r="E516">
        <v>1</v>
      </c>
      <c r="F516" t="s">
        <v>46</v>
      </c>
      <c r="G516" t="s">
        <v>46</v>
      </c>
      <c r="H516" t="s">
        <v>65</v>
      </c>
      <c r="I516" t="s">
        <v>339</v>
      </c>
    </row>
    <row r="517" spans="1:9">
      <c r="A517" t="s">
        <v>788</v>
      </c>
      <c r="B517" t="s">
        <v>1303</v>
      </c>
      <c r="C517" t="s">
        <v>265</v>
      </c>
      <c r="D517" t="s">
        <v>652</v>
      </c>
      <c r="E517">
        <v>1</v>
      </c>
      <c r="F517" t="s">
        <v>46</v>
      </c>
      <c r="G517" t="s">
        <v>46</v>
      </c>
      <c r="H517" t="s">
        <v>266</v>
      </c>
      <c r="I517" t="s">
        <v>383</v>
      </c>
    </row>
    <row r="518" spans="1:9">
      <c r="A518" t="s">
        <v>788</v>
      </c>
      <c r="B518" t="s">
        <v>1304</v>
      </c>
      <c r="C518" t="s">
        <v>265</v>
      </c>
      <c r="D518" t="s">
        <v>653</v>
      </c>
      <c r="E518">
        <v>1</v>
      </c>
      <c r="F518" t="s">
        <v>46</v>
      </c>
      <c r="G518" t="s">
        <v>46</v>
      </c>
      <c r="H518" t="s">
        <v>266</v>
      </c>
      <c r="I518" t="s">
        <v>383</v>
      </c>
    </row>
    <row r="519" spans="1:9">
      <c r="A519" t="s">
        <v>788</v>
      </c>
      <c r="B519" t="s">
        <v>1305</v>
      </c>
      <c r="C519" t="s">
        <v>334</v>
      </c>
      <c r="D519" t="s">
        <v>654</v>
      </c>
      <c r="E519">
        <v>1</v>
      </c>
      <c r="F519" t="s">
        <v>46</v>
      </c>
      <c r="G519" t="s">
        <v>46</v>
      </c>
      <c r="H519" t="s">
        <v>65</v>
      </c>
      <c r="I519" t="s">
        <v>339</v>
      </c>
    </row>
    <row r="520" spans="1:9">
      <c r="A520" t="s">
        <v>788</v>
      </c>
      <c r="B520" t="s">
        <v>1306</v>
      </c>
      <c r="C520" t="s">
        <v>93</v>
      </c>
      <c r="D520" t="s">
        <v>166</v>
      </c>
      <c r="E520">
        <v>1</v>
      </c>
      <c r="F520" t="s">
        <v>46</v>
      </c>
      <c r="G520" t="s">
        <v>46</v>
      </c>
      <c r="H520" t="s">
        <v>65</v>
      </c>
      <c r="I520" t="s">
        <v>339</v>
      </c>
    </row>
    <row r="521" spans="1:9">
      <c r="A521" t="s">
        <v>788</v>
      </c>
      <c r="B521" t="s">
        <v>1307</v>
      </c>
      <c r="C521" t="s">
        <v>73</v>
      </c>
      <c r="D521" t="s">
        <v>655</v>
      </c>
      <c r="E521">
        <v>1</v>
      </c>
      <c r="F521" t="s">
        <v>46</v>
      </c>
      <c r="G521" t="s">
        <v>46</v>
      </c>
      <c r="H521" t="s">
        <v>65</v>
      </c>
      <c r="I521" t="s">
        <v>339</v>
      </c>
    </row>
    <row r="522" spans="1:9">
      <c r="A522" t="s">
        <v>788</v>
      </c>
      <c r="B522" t="s">
        <v>1308</v>
      </c>
      <c r="C522" t="s">
        <v>88</v>
      </c>
      <c r="D522" t="s">
        <v>656</v>
      </c>
      <c r="E522">
        <v>1</v>
      </c>
      <c r="F522" t="s">
        <v>46</v>
      </c>
      <c r="G522" t="s">
        <v>46</v>
      </c>
      <c r="H522" t="s">
        <v>40</v>
      </c>
      <c r="I522" t="s">
        <v>383</v>
      </c>
    </row>
    <row r="523" spans="1:9">
      <c r="A523" t="s">
        <v>788</v>
      </c>
      <c r="B523" t="s">
        <v>1309</v>
      </c>
      <c r="D523" t="s">
        <v>657</v>
      </c>
      <c r="E523">
        <v>1</v>
      </c>
      <c r="F523" t="s">
        <v>154</v>
      </c>
      <c r="G523" t="s">
        <v>154</v>
      </c>
      <c r="H523" t="s">
        <v>155</v>
      </c>
      <c r="I523" t="s">
        <v>225</v>
      </c>
    </row>
    <row r="524" spans="1:9">
      <c r="A524" t="s">
        <v>788</v>
      </c>
      <c r="B524" t="s">
        <v>1310</v>
      </c>
      <c r="D524" t="s">
        <v>308</v>
      </c>
      <c r="E524">
        <v>1</v>
      </c>
      <c r="F524" t="s">
        <v>154</v>
      </c>
      <c r="G524" t="s">
        <v>154</v>
      </c>
      <c r="H524" t="s">
        <v>155</v>
      </c>
      <c r="I524" t="s">
        <v>225</v>
      </c>
    </row>
    <row r="525" spans="1:9">
      <c r="A525" t="s">
        <v>788</v>
      </c>
      <c r="B525" t="s">
        <v>1311</v>
      </c>
      <c r="C525" t="s">
        <v>73</v>
      </c>
      <c r="D525" t="s">
        <v>658</v>
      </c>
      <c r="E525">
        <v>1</v>
      </c>
      <c r="F525" t="s">
        <v>46</v>
      </c>
      <c r="G525" t="s">
        <v>46</v>
      </c>
      <c r="H525" t="s">
        <v>65</v>
      </c>
      <c r="I525" t="s">
        <v>339</v>
      </c>
    </row>
    <row r="526" spans="1:9">
      <c r="A526" t="s">
        <v>788</v>
      </c>
      <c r="B526" t="s">
        <v>1312</v>
      </c>
      <c r="C526" t="s">
        <v>73</v>
      </c>
      <c r="D526" t="s">
        <v>659</v>
      </c>
      <c r="E526">
        <v>1</v>
      </c>
      <c r="F526" t="s">
        <v>46</v>
      </c>
      <c r="G526" t="s">
        <v>46</v>
      </c>
      <c r="H526" t="s">
        <v>65</v>
      </c>
      <c r="I526" t="s">
        <v>339</v>
      </c>
    </row>
    <row r="527" spans="1:9">
      <c r="A527" t="s">
        <v>788</v>
      </c>
      <c r="B527" t="s">
        <v>1313</v>
      </c>
      <c r="C527" t="s">
        <v>73</v>
      </c>
      <c r="D527" t="s">
        <v>660</v>
      </c>
      <c r="E527">
        <v>1</v>
      </c>
      <c r="F527" t="s">
        <v>46</v>
      </c>
      <c r="G527" t="s">
        <v>46</v>
      </c>
      <c r="H527" t="s">
        <v>65</v>
      </c>
      <c r="I527" t="s">
        <v>339</v>
      </c>
    </row>
    <row r="528" spans="1:9">
      <c r="A528" t="s">
        <v>788</v>
      </c>
      <c r="B528" t="s">
        <v>1314</v>
      </c>
      <c r="C528" t="s">
        <v>160</v>
      </c>
      <c r="D528" t="s">
        <v>661</v>
      </c>
      <c r="E528">
        <v>1</v>
      </c>
      <c r="F528" t="s">
        <v>46</v>
      </c>
      <c r="G528" t="s">
        <v>46</v>
      </c>
      <c r="H528" t="s">
        <v>40</v>
      </c>
      <c r="I528" t="s">
        <v>383</v>
      </c>
    </row>
    <row r="529" spans="1:9">
      <c r="A529" t="s">
        <v>788</v>
      </c>
      <c r="B529" t="s">
        <v>1315</v>
      </c>
      <c r="D529" t="s">
        <v>662</v>
      </c>
      <c r="E529">
        <v>1</v>
      </c>
      <c r="F529" t="s">
        <v>49</v>
      </c>
      <c r="G529" t="s">
        <v>52</v>
      </c>
      <c r="H529" t="s">
        <v>52</v>
      </c>
      <c r="I529" t="s">
        <v>53</v>
      </c>
    </row>
    <row r="530" spans="1:9">
      <c r="A530" t="s">
        <v>788</v>
      </c>
      <c r="B530" t="s">
        <v>1316</v>
      </c>
      <c r="D530" t="s">
        <v>663</v>
      </c>
      <c r="E530">
        <v>1</v>
      </c>
      <c r="F530" t="s">
        <v>46</v>
      </c>
      <c r="G530" t="s">
        <v>70</v>
      </c>
      <c r="H530" t="s">
        <v>664</v>
      </c>
      <c r="I530" t="s">
        <v>664</v>
      </c>
    </row>
    <row r="531" spans="1:9">
      <c r="A531" t="s">
        <v>788</v>
      </c>
      <c r="B531" t="s">
        <v>1317</v>
      </c>
      <c r="D531" t="s">
        <v>528</v>
      </c>
      <c r="E531">
        <v>1</v>
      </c>
      <c r="F531" t="s">
        <v>154</v>
      </c>
      <c r="G531" t="s">
        <v>154</v>
      </c>
      <c r="H531" t="s">
        <v>155</v>
      </c>
      <c r="I531" t="s">
        <v>225</v>
      </c>
    </row>
    <row r="532" spans="1:9">
      <c r="A532" t="s">
        <v>788</v>
      </c>
      <c r="B532" t="s">
        <v>1318</v>
      </c>
      <c r="C532" t="s">
        <v>73</v>
      </c>
      <c r="D532" t="s">
        <v>665</v>
      </c>
      <c r="E532">
        <v>1</v>
      </c>
      <c r="F532" t="s">
        <v>46</v>
      </c>
      <c r="G532" t="s">
        <v>46</v>
      </c>
      <c r="H532" t="s">
        <v>65</v>
      </c>
      <c r="I532" t="s">
        <v>339</v>
      </c>
    </row>
    <row r="533" spans="1:9">
      <c r="A533" t="s">
        <v>788</v>
      </c>
      <c r="B533" t="s">
        <v>1319</v>
      </c>
      <c r="C533" t="s">
        <v>73</v>
      </c>
      <c r="D533" t="s">
        <v>666</v>
      </c>
      <c r="E533">
        <v>1</v>
      </c>
      <c r="F533" t="s">
        <v>46</v>
      </c>
      <c r="G533" t="s">
        <v>46</v>
      </c>
      <c r="H533" t="s">
        <v>65</v>
      </c>
      <c r="I533" t="s">
        <v>339</v>
      </c>
    </row>
    <row r="534" spans="1:9">
      <c r="A534" t="s">
        <v>788</v>
      </c>
      <c r="B534" t="s">
        <v>1320</v>
      </c>
      <c r="C534" t="s">
        <v>73</v>
      </c>
      <c r="D534" t="s">
        <v>667</v>
      </c>
      <c r="E534">
        <v>1</v>
      </c>
      <c r="F534" t="s">
        <v>46</v>
      </c>
      <c r="G534" t="s">
        <v>46</v>
      </c>
      <c r="H534" t="s">
        <v>65</v>
      </c>
      <c r="I534" t="s">
        <v>339</v>
      </c>
    </row>
    <row r="535" spans="1:9">
      <c r="A535" t="s">
        <v>788</v>
      </c>
      <c r="B535" t="s">
        <v>1321</v>
      </c>
      <c r="C535" t="s">
        <v>93</v>
      </c>
      <c r="D535" t="s">
        <v>578</v>
      </c>
      <c r="E535">
        <v>1</v>
      </c>
      <c r="F535" t="s">
        <v>46</v>
      </c>
      <c r="G535" t="s">
        <v>46</v>
      </c>
      <c r="H535" t="s">
        <v>65</v>
      </c>
      <c r="I535" t="s">
        <v>339</v>
      </c>
    </row>
    <row r="536" spans="1:9">
      <c r="A536" t="s">
        <v>788</v>
      </c>
      <c r="B536" t="s">
        <v>1322</v>
      </c>
      <c r="C536" t="s">
        <v>85</v>
      </c>
      <c r="D536" t="s">
        <v>668</v>
      </c>
      <c r="E536">
        <v>1</v>
      </c>
      <c r="F536" t="s">
        <v>46</v>
      </c>
      <c r="G536" t="s">
        <v>46</v>
      </c>
      <c r="H536" t="s">
        <v>65</v>
      </c>
      <c r="I536" t="s">
        <v>339</v>
      </c>
    </row>
    <row r="537" spans="1:9">
      <c r="A537" t="s">
        <v>788</v>
      </c>
      <c r="B537" t="s">
        <v>1323</v>
      </c>
      <c r="C537" t="s">
        <v>73</v>
      </c>
      <c r="D537" t="s">
        <v>669</v>
      </c>
      <c r="E537">
        <v>1</v>
      </c>
      <c r="F537" t="s">
        <v>46</v>
      </c>
      <c r="G537" t="s">
        <v>46</v>
      </c>
      <c r="H537" t="s">
        <v>65</v>
      </c>
      <c r="I537" t="s">
        <v>339</v>
      </c>
    </row>
    <row r="538" spans="1:9">
      <c r="A538" t="s">
        <v>788</v>
      </c>
      <c r="B538" t="s">
        <v>1324</v>
      </c>
      <c r="C538" t="s">
        <v>73</v>
      </c>
      <c r="D538" t="s">
        <v>670</v>
      </c>
      <c r="E538">
        <v>1</v>
      </c>
      <c r="F538" t="s">
        <v>46</v>
      </c>
      <c r="G538" t="s">
        <v>46</v>
      </c>
      <c r="H538" t="s">
        <v>65</v>
      </c>
      <c r="I538" t="s">
        <v>339</v>
      </c>
    </row>
    <row r="539" spans="1:9">
      <c r="A539" t="s">
        <v>788</v>
      </c>
      <c r="B539" t="s">
        <v>1325</v>
      </c>
      <c r="C539" t="s">
        <v>93</v>
      </c>
      <c r="D539" t="s">
        <v>671</v>
      </c>
      <c r="E539">
        <v>1</v>
      </c>
      <c r="F539" t="s">
        <v>46</v>
      </c>
      <c r="G539" t="s">
        <v>46</v>
      </c>
      <c r="H539" t="s">
        <v>65</v>
      </c>
      <c r="I539" t="s">
        <v>339</v>
      </c>
    </row>
    <row r="540" spans="1:9">
      <c r="A540" t="s">
        <v>788</v>
      </c>
      <c r="B540" t="s">
        <v>1326</v>
      </c>
      <c r="C540" t="s">
        <v>93</v>
      </c>
      <c r="D540" t="s">
        <v>672</v>
      </c>
      <c r="E540">
        <v>1</v>
      </c>
      <c r="F540" t="s">
        <v>46</v>
      </c>
      <c r="G540" t="s">
        <v>46</v>
      </c>
      <c r="H540" t="s">
        <v>65</v>
      </c>
      <c r="I540" t="s">
        <v>339</v>
      </c>
    </row>
    <row r="541" spans="1:9">
      <c r="A541" t="s">
        <v>788</v>
      </c>
      <c r="B541" t="s">
        <v>1327</v>
      </c>
      <c r="C541" t="s">
        <v>93</v>
      </c>
      <c r="D541" t="s">
        <v>673</v>
      </c>
      <c r="E541">
        <v>1</v>
      </c>
      <c r="F541" t="s">
        <v>46</v>
      </c>
      <c r="G541" t="s">
        <v>46</v>
      </c>
      <c r="H541" t="s">
        <v>65</v>
      </c>
      <c r="I541" t="s">
        <v>339</v>
      </c>
    </row>
    <row r="542" spans="1:9">
      <c r="A542" t="s">
        <v>788</v>
      </c>
      <c r="B542" t="s">
        <v>1328</v>
      </c>
      <c r="D542" t="s">
        <v>674</v>
      </c>
      <c r="E542">
        <v>1</v>
      </c>
      <c r="F542" t="s">
        <v>46</v>
      </c>
      <c r="G542" t="s">
        <v>46</v>
      </c>
      <c r="H542" t="s">
        <v>58</v>
      </c>
      <c r="I542" t="s">
        <v>58</v>
      </c>
    </row>
    <row r="543" spans="1:9">
      <c r="A543" t="s">
        <v>788</v>
      </c>
      <c r="B543" t="s">
        <v>1329</v>
      </c>
      <c r="C543" t="s">
        <v>93</v>
      </c>
      <c r="D543" t="s">
        <v>675</v>
      </c>
      <c r="E543">
        <v>1</v>
      </c>
      <c r="F543" t="s">
        <v>46</v>
      </c>
      <c r="G543" t="s">
        <v>46</v>
      </c>
      <c r="H543" t="s">
        <v>65</v>
      </c>
      <c r="I543" t="s">
        <v>339</v>
      </c>
    </row>
    <row r="544" spans="1:9">
      <c r="A544" t="s">
        <v>788</v>
      </c>
      <c r="B544" t="s">
        <v>1330</v>
      </c>
      <c r="C544" t="s">
        <v>73</v>
      </c>
      <c r="D544" t="s">
        <v>676</v>
      </c>
      <c r="E544">
        <v>1</v>
      </c>
      <c r="F544" t="s">
        <v>46</v>
      </c>
      <c r="G544" t="s">
        <v>46</v>
      </c>
      <c r="H544" t="s">
        <v>65</v>
      </c>
      <c r="I544" t="s">
        <v>339</v>
      </c>
    </row>
    <row r="545" spans="1:9">
      <c r="A545" t="s">
        <v>788</v>
      </c>
      <c r="B545" t="s">
        <v>1331</v>
      </c>
      <c r="C545" t="s">
        <v>73</v>
      </c>
      <c r="D545" t="s">
        <v>54</v>
      </c>
      <c r="E545">
        <v>1</v>
      </c>
      <c r="F545" t="s">
        <v>46</v>
      </c>
      <c r="G545" t="s">
        <v>46</v>
      </c>
      <c r="H545" t="s">
        <v>65</v>
      </c>
      <c r="I545" t="s">
        <v>339</v>
      </c>
    </row>
    <row r="546" spans="1:9">
      <c r="A546" t="s">
        <v>788</v>
      </c>
      <c r="B546" t="s">
        <v>1332</v>
      </c>
      <c r="D546" t="s">
        <v>677</v>
      </c>
      <c r="E546">
        <v>1</v>
      </c>
      <c r="F546" t="s">
        <v>46</v>
      </c>
      <c r="G546" t="s">
        <v>46</v>
      </c>
      <c r="H546" t="s">
        <v>211</v>
      </c>
      <c r="I546" t="s">
        <v>212</v>
      </c>
    </row>
    <row r="547" spans="1:9">
      <c r="A547" t="s">
        <v>788</v>
      </c>
      <c r="B547" t="s">
        <v>1333</v>
      </c>
      <c r="D547" t="s">
        <v>678</v>
      </c>
      <c r="E547">
        <v>1</v>
      </c>
      <c r="F547" t="s">
        <v>46</v>
      </c>
      <c r="G547" t="s">
        <v>46</v>
      </c>
      <c r="H547" t="s">
        <v>211</v>
      </c>
      <c r="I547" t="s">
        <v>212</v>
      </c>
    </row>
    <row r="548" spans="1:9">
      <c r="A548" t="s">
        <v>788</v>
      </c>
      <c r="B548" t="s">
        <v>1334</v>
      </c>
      <c r="D548" t="s">
        <v>679</v>
      </c>
      <c r="E548">
        <v>1</v>
      </c>
      <c r="F548" t="s">
        <v>46</v>
      </c>
      <c r="G548" t="s">
        <v>114</v>
      </c>
      <c r="H548" t="s">
        <v>114</v>
      </c>
      <c r="I548" t="s">
        <v>173</v>
      </c>
    </row>
    <row r="549" spans="1:9">
      <c r="A549" t="s">
        <v>788</v>
      </c>
      <c r="B549" t="s">
        <v>1335</v>
      </c>
      <c r="D549" t="s">
        <v>680</v>
      </c>
      <c r="E549">
        <v>1</v>
      </c>
      <c r="F549" t="s">
        <v>46</v>
      </c>
      <c r="G549" t="s">
        <v>114</v>
      </c>
      <c r="H549" t="s">
        <v>114</v>
      </c>
      <c r="I549" t="s">
        <v>173</v>
      </c>
    </row>
    <row r="550" spans="1:9">
      <c r="A550" t="s">
        <v>788</v>
      </c>
      <c r="B550" t="s">
        <v>1336</v>
      </c>
      <c r="C550" t="s">
        <v>93</v>
      </c>
      <c r="D550" t="s">
        <v>681</v>
      </c>
      <c r="E550">
        <v>1</v>
      </c>
      <c r="F550" t="s">
        <v>46</v>
      </c>
      <c r="G550" t="s">
        <v>46</v>
      </c>
      <c r="H550" t="s">
        <v>65</v>
      </c>
      <c r="I550" t="s">
        <v>339</v>
      </c>
    </row>
    <row r="551" spans="1:9">
      <c r="A551" t="s">
        <v>788</v>
      </c>
      <c r="B551" t="s">
        <v>1337</v>
      </c>
      <c r="C551" t="s">
        <v>93</v>
      </c>
      <c r="D551" t="s">
        <v>682</v>
      </c>
      <c r="E551">
        <v>1</v>
      </c>
      <c r="F551" t="s">
        <v>46</v>
      </c>
      <c r="G551" t="s">
        <v>46</v>
      </c>
      <c r="H551" t="s">
        <v>65</v>
      </c>
      <c r="I551" t="s">
        <v>339</v>
      </c>
    </row>
    <row r="552" spans="1:9">
      <c r="A552" t="s">
        <v>788</v>
      </c>
      <c r="B552" t="s">
        <v>1338</v>
      </c>
      <c r="C552" t="s">
        <v>89</v>
      </c>
      <c r="D552" t="s">
        <v>683</v>
      </c>
      <c r="E552">
        <v>1</v>
      </c>
      <c r="F552" t="s">
        <v>46</v>
      </c>
      <c r="G552" t="s">
        <v>46</v>
      </c>
      <c r="H552" t="s">
        <v>40</v>
      </c>
      <c r="I552" t="s">
        <v>383</v>
      </c>
    </row>
    <row r="553" spans="1:9">
      <c r="A553" t="s">
        <v>788</v>
      </c>
      <c r="B553" t="s">
        <v>1339</v>
      </c>
      <c r="D553" t="s">
        <v>684</v>
      </c>
      <c r="E553">
        <v>1</v>
      </c>
      <c r="F553" t="s">
        <v>154</v>
      </c>
      <c r="G553" t="s">
        <v>154</v>
      </c>
      <c r="H553" t="s">
        <v>155</v>
      </c>
      <c r="I553" t="s">
        <v>225</v>
      </c>
    </row>
    <row r="554" spans="1:9">
      <c r="A554" t="s">
        <v>788</v>
      </c>
      <c r="B554" t="s">
        <v>1340</v>
      </c>
      <c r="D554" t="s">
        <v>685</v>
      </c>
      <c r="E554">
        <v>1</v>
      </c>
      <c r="F554" t="s">
        <v>154</v>
      </c>
      <c r="G554" t="s">
        <v>154</v>
      </c>
      <c r="H554" t="s">
        <v>155</v>
      </c>
      <c r="I554" t="s">
        <v>225</v>
      </c>
    </row>
    <row r="555" spans="1:9">
      <c r="A555" t="s">
        <v>788</v>
      </c>
      <c r="B555" t="s">
        <v>1341</v>
      </c>
      <c r="D555" t="s">
        <v>686</v>
      </c>
      <c r="E555">
        <v>1</v>
      </c>
      <c r="F555" t="s">
        <v>154</v>
      </c>
      <c r="G555" t="s">
        <v>154</v>
      </c>
      <c r="H555" t="s">
        <v>155</v>
      </c>
      <c r="I555" t="s">
        <v>225</v>
      </c>
    </row>
    <row r="556" spans="1:9">
      <c r="A556" t="s">
        <v>788</v>
      </c>
      <c r="B556" t="s">
        <v>1342</v>
      </c>
      <c r="D556" t="s">
        <v>687</v>
      </c>
      <c r="E556">
        <v>1</v>
      </c>
      <c r="F556" t="s">
        <v>154</v>
      </c>
      <c r="G556" t="s">
        <v>154</v>
      </c>
      <c r="H556" t="s">
        <v>154</v>
      </c>
      <c r="I556" t="s">
        <v>517</v>
      </c>
    </row>
    <row r="557" spans="1:9">
      <c r="A557" t="s">
        <v>788</v>
      </c>
      <c r="B557" t="s">
        <v>1343</v>
      </c>
      <c r="D557" t="s">
        <v>688</v>
      </c>
      <c r="E557">
        <v>1</v>
      </c>
      <c r="F557" t="s">
        <v>46</v>
      </c>
      <c r="G557" t="s">
        <v>116</v>
      </c>
      <c r="H557" t="s">
        <v>117</v>
      </c>
      <c r="I557" t="s">
        <v>118</v>
      </c>
    </row>
    <row r="558" spans="1:9">
      <c r="A558" t="s">
        <v>788</v>
      </c>
      <c r="B558" t="s">
        <v>1344</v>
      </c>
      <c r="D558" t="s">
        <v>689</v>
      </c>
      <c r="E558">
        <v>1</v>
      </c>
      <c r="F558" t="s">
        <v>46</v>
      </c>
      <c r="G558" t="s">
        <v>116</v>
      </c>
      <c r="H558" t="s">
        <v>117</v>
      </c>
      <c r="I558" t="s">
        <v>118</v>
      </c>
    </row>
    <row r="559" spans="1:9">
      <c r="A559" t="s">
        <v>788</v>
      </c>
      <c r="B559" t="s">
        <v>1345</v>
      </c>
      <c r="C559" t="s">
        <v>73</v>
      </c>
      <c r="D559" t="s">
        <v>690</v>
      </c>
      <c r="E559">
        <v>1</v>
      </c>
      <c r="F559" t="s">
        <v>46</v>
      </c>
      <c r="G559" t="s">
        <v>46</v>
      </c>
      <c r="H559" t="s">
        <v>40</v>
      </c>
      <c r="I559" t="s">
        <v>383</v>
      </c>
    </row>
    <row r="560" spans="1:9">
      <c r="A560" t="s">
        <v>788</v>
      </c>
      <c r="B560" t="s">
        <v>1346</v>
      </c>
      <c r="C560" t="s">
        <v>93</v>
      </c>
      <c r="D560" t="s">
        <v>691</v>
      </c>
      <c r="E560">
        <v>1</v>
      </c>
      <c r="F560" t="s">
        <v>46</v>
      </c>
      <c r="G560" t="s">
        <v>46</v>
      </c>
      <c r="H560" t="s">
        <v>65</v>
      </c>
      <c r="I560" t="s">
        <v>339</v>
      </c>
    </row>
    <row r="561" spans="1:9">
      <c r="A561" t="s">
        <v>788</v>
      </c>
      <c r="B561" t="s">
        <v>1347</v>
      </c>
      <c r="D561" t="s">
        <v>448</v>
      </c>
      <c r="E561">
        <v>1</v>
      </c>
      <c r="F561" t="s">
        <v>46</v>
      </c>
      <c r="G561" t="s">
        <v>114</v>
      </c>
      <c r="H561" t="s">
        <v>114</v>
      </c>
      <c r="I561" t="s">
        <v>173</v>
      </c>
    </row>
    <row r="562" spans="1:9">
      <c r="A562" t="s">
        <v>788</v>
      </c>
      <c r="B562" t="s">
        <v>1348</v>
      </c>
      <c r="C562" t="s">
        <v>93</v>
      </c>
      <c r="D562" t="s">
        <v>692</v>
      </c>
      <c r="E562">
        <v>1</v>
      </c>
      <c r="F562" t="s">
        <v>46</v>
      </c>
      <c r="G562" t="s">
        <v>46</v>
      </c>
      <c r="H562" t="s">
        <v>65</v>
      </c>
      <c r="I562" t="s">
        <v>339</v>
      </c>
    </row>
    <row r="563" spans="1:9">
      <c r="A563" t="s">
        <v>788</v>
      </c>
      <c r="B563" t="s">
        <v>1349</v>
      </c>
      <c r="C563" t="s">
        <v>73</v>
      </c>
      <c r="D563" t="s">
        <v>693</v>
      </c>
      <c r="E563">
        <v>1</v>
      </c>
      <c r="F563" t="s">
        <v>46</v>
      </c>
      <c r="G563" t="s">
        <v>46</v>
      </c>
      <c r="H563" t="s">
        <v>65</v>
      </c>
      <c r="I563" t="s">
        <v>339</v>
      </c>
    </row>
    <row r="564" spans="1:9">
      <c r="A564" t="s">
        <v>788</v>
      </c>
      <c r="B564" t="s">
        <v>1350</v>
      </c>
      <c r="C564" t="s">
        <v>93</v>
      </c>
      <c r="D564" t="s">
        <v>694</v>
      </c>
      <c r="E564">
        <v>1</v>
      </c>
      <c r="F564" t="s">
        <v>46</v>
      </c>
      <c r="G564" t="s">
        <v>46</v>
      </c>
      <c r="H564" t="s">
        <v>65</v>
      </c>
      <c r="I564" t="s">
        <v>339</v>
      </c>
    </row>
    <row r="565" spans="1:9">
      <c r="A565" t="s">
        <v>788</v>
      </c>
      <c r="B565" t="s">
        <v>1351</v>
      </c>
      <c r="C565" t="s">
        <v>73</v>
      </c>
      <c r="D565" t="s">
        <v>695</v>
      </c>
      <c r="E565">
        <v>1</v>
      </c>
      <c r="F565" t="s">
        <v>46</v>
      </c>
      <c r="G565" t="s">
        <v>46</v>
      </c>
      <c r="H565" t="s">
        <v>65</v>
      </c>
      <c r="I565" t="s">
        <v>339</v>
      </c>
    </row>
    <row r="566" spans="1:9">
      <c r="A566" t="s">
        <v>788</v>
      </c>
      <c r="B566" t="s">
        <v>1352</v>
      </c>
      <c r="D566" t="s">
        <v>696</v>
      </c>
      <c r="E566">
        <v>1</v>
      </c>
      <c r="F566" t="s">
        <v>154</v>
      </c>
      <c r="G566" t="s">
        <v>154</v>
      </c>
      <c r="H566" t="s">
        <v>155</v>
      </c>
      <c r="I566" t="s">
        <v>225</v>
      </c>
    </row>
    <row r="567" spans="1:9">
      <c r="A567" t="s">
        <v>788</v>
      </c>
      <c r="B567" t="s">
        <v>1353</v>
      </c>
      <c r="C567" t="s">
        <v>93</v>
      </c>
      <c r="D567" t="s">
        <v>697</v>
      </c>
      <c r="E567">
        <v>1</v>
      </c>
      <c r="F567" t="s">
        <v>46</v>
      </c>
      <c r="G567" t="s">
        <v>46</v>
      </c>
      <c r="H567" t="s">
        <v>65</v>
      </c>
      <c r="I567" t="s">
        <v>339</v>
      </c>
    </row>
    <row r="568" spans="1:9">
      <c r="A568" t="s">
        <v>788</v>
      </c>
      <c r="B568" t="s">
        <v>1354</v>
      </c>
      <c r="C568" t="s">
        <v>698</v>
      </c>
      <c r="D568" t="s">
        <v>699</v>
      </c>
      <c r="E568">
        <v>1</v>
      </c>
      <c r="F568" t="s">
        <v>46</v>
      </c>
      <c r="G568" t="s">
        <v>46</v>
      </c>
      <c r="H568" t="s">
        <v>65</v>
      </c>
      <c r="I568" t="s">
        <v>339</v>
      </c>
    </row>
    <row r="569" spans="1:9">
      <c r="A569" t="s">
        <v>788</v>
      </c>
      <c r="B569" t="s">
        <v>1355</v>
      </c>
      <c r="C569" t="s">
        <v>93</v>
      </c>
      <c r="D569" t="s">
        <v>700</v>
      </c>
      <c r="E569">
        <v>1</v>
      </c>
      <c r="F569" t="s">
        <v>46</v>
      </c>
      <c r="G569" t="s">
        <v>46</v>
      </c>
      <c r="H569" t="s">
        <v>65</v>
      </c>
      <c r="I569" t="s">
        <v>339</v>
      </c>
    </row>
    <row r="570" spans="1:9">
      <c r="A570" t="s">
        <v>788</v>
      </c>
      <c r="B570" t="s">
        <v>1356</v>
      </c>
      <c r="C570" t="s">
        <v>93</v>
      </c>
      <c r="D570" t="s">
        <v>701</v>
      </c>
      <c r="E570">
        <v>1</v>
      </c>
      <c r="F570" t="s">
        <v>46</v>
      </c>
      <c r="G570" t="s">
        <v>46</v>
      </c>
      <c r="H570" t="s">
        <v>65</v>
      </c>
      <c r="I570" t="s">
        <v>339</v>
      </c>
    </row>
    <row r="571" spans="1:9">
      <c r="A571" t="s">
        <v>788</v>
      </c>
      <c r="B571" t="s">
        <v>1357</v>
      </c>
      <c r="C571" t="s">
        <v>142</v>
      </c>
      <c r="D571" t="s">
        <v>702</v>
      </c>
      <c r="E571">
        <v>1</v>
      </c>
      <c r="F571" t="s">
        <v>46</v>
      </c>
      <c r="G571" t="s">
        <v>46</v>
      </c>
      <c r="H571" t="s">
        <v>65</v>
      </c>
      <c r="I571" t="s">
        <v>339</v>
      </c>
    </row>
    <row r="572" spans="1:9">
      <c r="A572" t="s">
        <v>788</v>
      </c>
      <c r="B572" t="s">
        <v>1358</v>
      </c>
      <c r="C572" t="s">
        <v>75</v>
      </c>
      <c r="D572" t="s">
        <v>703</v>
      </c>
      <c r="E572">
        <v>1</v>
      </c>
      <c r="F572" t="s">
        <v>46</v>
      </c>
      <c r="G572" t="s">
        <v>46</v>
      </c>
      <c r="H572" t="s">
        <v>65</v>
      </c>
      <c r="I572" t="s">
        <v>339</v>
      </c>
    </row>
    <row r="573" spans="1:9">
      <c r="A573" t="s">
        <v>788</v>
      </c>
      <c r="B573" t="s">
        <v>1359</v>
      </c>
      <c r="C573" t="s">
        <v>265</v>
      </c>
      <c r="D573" t="s">
        <v>704</v>
      </c>
      <c r="E573">
        <v>1</v>
      </c>
      <c r="F573" t="s">
        <v>46</v>
      </c>
      <c r="G573" t="s">
        <v>46</v>
      </c>
      <c r="H573" t="s">
        <v>266</v>
      </c>
      <c r="I573" t="s">
        <v>383</v>
      </c>
    </row>
    <row r="574" spans="1:9">
      <c r="A574" t="s">
        <v>788</v>
      </c>
      <c r="B574" t="s">
        <v>1360</v>
      </c>
      <c r="C574" t="s">
        <v>93</v>
      </c>
      <c r="D574" t="s">
        <v>705</v>
      </c>
      <c r="E574">
        <v>1</v>
      </c>
      <c r="F574" t="s">
        <v>46</v>
      </c>
      <c r="G574" t="s">
        <v>46</v>
      </c>
      <c r="H574" t="s">
        <v>40</v>
      </c>
      <c r="I574" t="s">
        <v>383</v>
      </c>
    </row>
    <row r="575" spans="1:9">
      <c r="A575" t="s">
        <v>788</v>
      </c>
      <c r="B575" t="s">
        <v>1361</v>
      </c>
      <c r="C575" t="s">
        <v>44</v>
      </c>
      <c r="D575" t="s">
        <v>257</v>
      </c>
      <c r="E575">
        <v>1</v>
      </c>
      <c r="F575" t="s">
        <v>46</v>
      </c>
      <c r="G575" t="s">
        <v>46</v>
      </c>
      <c r="H575" t="s">
        <v>44</v>
      </c>
      <c r="I575" t="s">
        <v>516</v>
      </c>
    </row>
    <row r="576" spans="1:9">
      <c r="A576" t="s">
        <v>788</v>
      </c>
      <c r="B576" t="s">
        <v>1362</v>
      </c>
      <c r="C576" t="s">
        <v>73</v>
      </c>
      <c r="D576" t="s">
        <v>307</v>
      </c>
      <c r="E576">
        <v>1</v>
      </c>
      <c r="F576" t="s">
        <v>46</v>
      </c>
      <c r="G576" t="s">
        <v>46</v>
      </c>
      <c r="H576" t="s">
        <v>65</v>
      </c>
      <c r="I576" t="s">
        <v>339</v>
      </c>
    </row>
    <row r="577" spans="1:9">
      <c r="A577" t="s">
        <v>788</v>
      </c>
      <c r="B577" t="s">
        <v>1363</v>
      </c>
      <c r="C577" t="s">
        <v>85</v>
      </c>
      <c r="D577" t="s">
        <v>706</v>
      </c>
      <c r="E577">
        <v>1</v>
      </c>
      <c r="F577" t="s">
        <v>46</v>
      </c>
      <c r="G577" t="s">
        <v>46</v>
      </c>
      <c r="H577" t="s">
        <v>65</v>
      </c>
      <c r="I577" t="s">
        <v>339</v>
      </c>
    </row>
    <row r="578" spans="1:9">
      <c r="A578" t="s">
        <v>788</v>
      </c>
      <c r="B578" t="s">
        <v>1364</v>
      </c>
      <c r="C578" t="s">
        <v>88</v>
      </c>
      <c r="D578" t="s">
        <v>707</v>
      </c>
      <c r="E578">
        <v>1</v>
      </c>
      <c r="F578" t="s">
        <v>46</v>
      </c>
      <c r="G578" t="s">
        <v>46</v>
      </c>
      <c r="H578" t="s">
        <v>65</v>
      </c>
      <c r="I578" t="s">
        <v>339</v>
      </c>
    </row>
    <row r="579" spans="1:9">
      <c r="A579" t="s">
        <v>788</v>
      </c>
      <c r="B579" t="s">
        <v>1365</v>
      </c>
      <c r="C579" t="s">
        <v>79</v>
      </c>
      <c r="D579" t="s">
        <v>708</v>
      </c>
      <c r="E579">
        <v>1</v>
      </c>
      <c r="F579" t="s">
        <v>46</v>
      </c>
      <c r="G579" t="s">
        <v>46</v>
      </c>
      <c r="H579" t="s">
        <v>65</v>
      </c>
      <c r="I579" t="s">
        <v>339</v>
      </c>
    </row>
    <row r="580" spans="1:9">
      <c r="A580" t="s">
        <v>788</v>
      </c>
      <c r="B580" t="s">
        <v>1366</v>
      </c>
      <c r="C580" t="s">
        <v>195</v>
      </c>
      <c r="D580" t="s">
        <v>166</v>
      </c>
      <c r="E580">
        <v>1</v>
      </c>
      <c r="F580" t="s">
        <v>46</v>
      </c>
      <c r="G580" t="s">
        <v>46</v>
      </c>
      <c r="H580" t="s">
        <v>65</v>
      </c>
      <c r="I580" t="s">
        <v>339</v>
      </c>
    </row>
    <row r="581" spans="1:9">
      <c r="A581" t="s">
        <v>788</v>
      </c>
      <c r="B581" t="s">
        <v>1367</v>
      </c>
      <c r="C581" t="s">
        <v>93</v>
      </c>
      <c r="D581" t="s">
        <v>709</v>
      </c>
      <c r="E581">
        <v>1</v>
      </c>
      <c r="F581" t="s">
        <v>46</v>
      </c>
      <c r="G581" t="s">
        <v>46</v>
      </c>
      <c r="H581" t="s">
        <v>65</v>
      </c>
      <c r="I581" t="s">
        <v>339</v>
      </c>
    </row>
    <row r="582" spans="1:9">
      <c r="A582" t="s">
        <v>788</v>
      </c>
      <c r="B582" t="s">
        <v>1368</v>
      </c>
      <c r="C582" t="s">
        <v>195</v>
      </c>
      <c r="D582" t="s">
        <v>710</v>
      </c>
      <c r="E582">
        <v>1</v>
      </c>
      <c r="F582" t="s">
        <v>46</v>
      </c>
      <c r="G582" t="s">
        <v>46</v>
      </c>
      <c r="H582" t="s">
        <v>65</v>
      </c>
      <c r="I582" t="s">
        <v>339</v>
      </c>
    </row>
    <row r="583" spans="1:9">
      <c r="A583" t="s">
        <v>788</v>
      </c>
      <c r="B583" t="s">
        <v>1369</v>
      </c>
      <c r="C583" t="s">
        <v>85</v>
      </c>
      <c r="D583" t="s">
        <v>711</v>
      </c>
      <c r="E583">
        <v>1</v>
      </c>
      <c r="F583" t="s">
        <v>46</v>
      </c>
      <c r="G583" t="s">
        <v>46</v>
      </c>
      <c r="H583" t="s">
        <v>65</v>
      </c>
      <c r="I583" t="s">
        <v>339</v>
      </c>
    </row>
    <row r="584" spans="1:9">
      <c r="A584" t="s">
        <v>788</v>
      </c>
      <c r="B584" t="s">
        <v>1370</v>
      </c>
      <c r="C584" t="s">
        <v>73</v>
      </c>
      <c r="D584" t="s">
        <v>712</v>
      </c>
      <c r="E584">
        <v>1</v>
      </c>
      <c r="F584" t="s">
        <v>46</v>
      </c>
      <c r="G584" t="s">
        <v>46</v>
      </c>
      <c r="H584" t="s">
        <v>65</v>
      </c>
      <c r="I584" t="s">
        <v>339</v>
      </c>
    </row>
    <row r="585" spans="1:9">
      <c r="A585" t="s">
        <v>788</v>
      </c>
      <c r="B585" t="s">
        <v>1371</v>
      </c>
      <c r="C585" t="s">
        <v>195</v>
      </c>
      <c r="D585" t="s">
        <v>713</v>
      </c>
      <c r="E585">
        <v>1</v>
      </c>
      <c r="F585" t="s">
        <v>46</v>
      </c>
      <c r="G585" t="s">
        <v>46</v>
      </c>
      <c r="H585" t="s">
        <v>65</v>
      </c>
      <c r="I585" t="s">
        <v>339</v>
      </c>
    </row>
    <row r="586" spans="1:9">
      <c r="A586" t="s">
        <v>788</v>
      </c>
      <c r="B586" t="s">
        <v>1372</v>
      </c>
      <c r="C586" t="s">
        <v>73</v>
      </c>
      <c r="D586" t="s">
        <v>714</v>
      </c>
      <c r="E586">
        <v>1</v>
      </c>
      <c r="F586" t="s">
        <v>46</v>
      </c>
      <c r="G586" t="s">
        <v>46</v>
      </c>
      <c r="H586" t="s">
        <v>65</v>
      </c>
      <c r="I586" t="s">
        <v>339</v>
      </c>
    </row>
    <row r="587" spans="1:9">
      <c r="A587" t="s">
        <v>788</v>
      </c>
      <c r="B587" t="s">
        <v>1373</v>
      </c>
      <c r="C587" t="s">
        <v>265</v>
      </c>
      <c r="D587" t="s">
        <v>715</v>
      </c>
      <c r="E587">
        <v>1</v>
      </c>
      <c r="F587" t="s">
        <v>46</v>
      </c>
      <c r="G587" t="s">
        <v>46</v>
      </c>
      <c r="H587" t="s">
        <v>266</v>
      </c>
      <c r="I587" t="s">
        <v>383</v>
      </c>
    </row>
    <row r="588" spans="1:9">
      <c r="A588" t="s">
        <v>788</v>
      </c>
      <c r="B588" t="s">
        <v>1374</v>
      </c>
      <c r="C588" t="s">
        <v>88</v>
      </c>
      <c r="D588" t="s">
        <v>269</v>
      </c>
      <c r="E588">
        <v>1</v>
      </c>
      <c r="F588" t="s">
        <v>46</v>
      </c>
      <c r="G588" t="s">
        <v>46</v>
      </c>
      <c r="H588" t="s">
        <v>65</v>
      </c>
      <c r="I588" t="s">
        <v>339</v>
      </c>
    </row>
    <row r="589" spans="1:9">
      <c r="A589" t="s">
        <v>788</v>
      </c>
      <c r="B589" t="s">
        <v>1375</v>
      </c>
      <c r="C589" t="s">
        <v>88</v>
      </c>
      <c r="D589" t="s">
        <v>716</v>
      </c>
      <c r="E589">
        <v>1</v>
      </c>
      <c r="F589" t="s">
        <v>46</v>
      </c>
      <c r="G589" t="s">
        <v>46</v>
      </c>
      <c r="H589" t="s">
        <v>65</v>
      </c>
      <c r="I589" t="s">
        <v>339</v>
      </c>
    </row>
    <row r="590" spans="1:9">
      <c r="A590" t="s">
        <v>788</v>
      </c>
      <c r="B590" t="s">
        <v>1376</v>
      </c>
      <c r="C590" t="s">
        <v>73</v>
      </c>
      <c r="D590" t="s">
        <v>717</v>
      </c>
      <c r="E590">
        <v>1</v>
      </c>
      <c r="F590" t="s">
        <v>46</v>
      </c>
      <c r="G590" t="s">
        <v>46</v>
      </c>
      <c r="H590" t="s">
        <v>65</v>
      </c>
      <c r="I590" t="s">
        <v>339</v>
      </c>
    </row>
    <row r="591" spans="1:9">
      <c r="A591" t="s">
        <v>788</v>
      </c>
      <c r="B591" t="s">
        <v>1377</v>
      </c>
      <c r="C591" t="s">
        <v>67</v>
      </c>
      <c r="D591" t="s">
        <v>245</v>
      </c>
      <c r="E591">
        <v>1</v>
      </c>
      <c r="F591" t="s">
        <v>46</v>
      </c>
      <c r="G591" t="s">
        <v>46</v>
      </c>
      <c r="H591" t="s">
        <v>65</v>
      </c>
      <c r="I591" t="s">
        <v>339</v>
      </c>
    </row>
    <row r="592" spans="1:9">
      <c r="A592" t="s">
        <v>788</v>
      </c>
      <c r="B592" t="s">
        <v>1378</v>
      </c>
      <c r="C592" t="s">
        <v>79</v>
      </c>
      <c r="D592" t="s">
        <v>718</v>
      </c>
      <c r="E592">
        <v>1</v>
      </c>
      <c r="F592" t="s">
        <v>46</v>
      </c>
      <c r="G592" t="s">
        <v>46</v>
      </c>
      <c r="H592" t="s">
        <v>65</v>
      </c>
      <c r="I592" t="s">
        <v>339</v>
      </c>
    </row>
    <row r="593" spans="1:9">
      <c r="A593" t="s">
        <v>788</v>
      </c>
      <c r="B593" t="s">
        <v>1379</v>
      </c>
      <c r="C593" t="s">
        <v>142</v>
      </c>
      <c r="D593" t="s">
        <v>719</v>
      </c>
      <c r="E593">
        <v>1</v>
      </c>
      <c r="F593" t="s">
        <v>46</v>
      </c>
      <c r="G593" t="s">
        <v>46</v>
      </c>
      <c r="H593" t="s">
        <v>65</v>
      </c>
      <c r="I593" t="s">
        <v>339</v>
      </c>
    </row>
    <row r="594" spans="1:9">
      <c r="A594" t="s">
        <v>788</v>
      </c>
      <c r="B594" t="s">
        <v>1380</v>
      </c>
      <c r="C594" t="s">
        <v>67</v>
      </c>
      <c r="D594" t="s">
        <v>710</v>
      </c>
      <c r="E594">
        <v>1</v>
      </c>
      <c r="F594" t="s">
        <v>46</v>
      </c>
      <c r="G594" t="s">
        <v>46</v>
      </c>
      <c r="H594" t="s">
        <v>65</v>
      </c>
      <c r="I594" t="s">
        <v>339</v>
      </c>
    </row>
    <row r="595" spans="1:9">
      <c r="A595" t="s">
        <v>788</v>
      </c>
      <c r="B595" t="s">
        <v>1381</v>
      </c>
      <c r="D595" t="s">
        <v>523</v>
      </c>
      <c r="E595">
        <v>1</v>
      </c>
      <c r="F595" t="s">
        <v>46</v>
      </c>
      <c r="G595" t="s">
        <v>70</v>
      </c>
      <c r="H595" t="s">
        <v>177</v>
      </c>
      <c r="I595" t="s">
        <v>191</v>
      </c>
    </row>
    <row r="596" spans="1:9">
      <c r="A596" t="s">
        <v>788</v>
      </c>
      <c r="B596" t="s">
        <v>1382</v>
      </c>
      <c r="C596" t="s">
        <v>79</v>
      </c>
      <c r="D596" t="s">
        <v>720</v>
      </c>
      <c r="E596">
        <v>1</v>
      </c>
      <c r="F596" t="s">
        <v>46</v>
      </c>
      <c r="G596" t="s">
        <v>46</v>
      </c>
      <c r="H596" t="s">
        <v>65</v>
      </c>
      <c r="I596" t="s">
        <v>339</v>
      </c>
    </row>
    <row r="597" spans="1:9">
      <c r="A597" t="s">
        <v>788</v>
      </c>
      <c r="B597" t="s">
        <v>1383</v>
      </c>
      <c r="C597" t="s">
        <v>195</v>
      </c>
      <c r="D597" t="s">
        <v>624</v>
      </c>
      <c r="E597">
        <v>1</v>
      </c>
      <c r="F597" t="s">
        <v>46</v>
      </c>
      <c r="G597" t="s">
        <v>46</v>
      </c>
      <c r="H597" t="s">
        <v>65</v>
      </c>
      <c r="I597" t="s">
        <v>339</v>
      </c>
    </row>
    <row r="598" spans="1:9">
      <c r="A598" t="s">
        <v>788</v>
      </c>
      <c r="B598" t="s">
        <v>1384</v>
      </c>
      <c r="C598" t="s">
        <v>73</v>
      </c>
      <c r="D598" t="s">
        <v>399</v>
      </c>
      <c r="E598">
        <v>1</v>
      </c>
      <c r="F598" t="s">
        <v>46</v>
      </c>
      <c r="G598" t="s">
        <v>46</v>
      </c>
      <c r="H598" t="s">
        <v>65</v>
      </c>
      <c r="I598" t="s">
        <v>339</v>
      </c>
    </row>
    <row r="599" spans="1:9">
      <c r="A599" t="s">
        <v>788</v>
      </c>
      <c r="B599" t="s">
        <v>1385</v>
      </c>
      <c r="C599" t="s">
        <v>63</v>
      </c>
      <c r="D599" t="s">
        <v>721</v>
      </c>
      <c r="E599">
        <v>1</v>
      </c>
      <c r="F599" t="s">
        <v>46</v>
      </c>
      <c r="G599" t="s">
        <v>46</v>
      </c>
      <c r="H599" t="s">
        <v>65</v>
      </c>
      <c r="I599" t="s">
        <v>339</v>
      </c>
    </row>
    <row r="600" spans="1:9">
      <c r="A600" t="s">
        <v>788</v>
      </c>
      <c r="B600" t="s">
        <v>1386</v>
      </c>
      <c r="C600" t="s">
        <v>93</v>
      </c>
      <c r="D600" t="s">
        <v>722</v>
      </c>
      <c r="E600">
        <v>1</v>
      </c>
      <c r="F600" t="s">
        <v>46</v>
      </c>
      <c r="G600" t="s">
        <v>46</v>
      </c>
      <c r="H600" t="s">
        <v>40</v>
      </c>
      <c r="I600" t="s">
        <v>383</v>
      </c>
    </row>
    <row r="601" spans="1:9">
      <c r="A601" t="s">
        <v>788</v>
      </c>
      <c r="B601" t="s">
        <v>1387</v>
      </c>
      <c r="C601" t="s">
        <v>44</v>
      </c>
      <c r="D601" t="s">
        <v>723</v>
      </c>
      <c r="E601">
        <v>1</v>
      </c>
      <c r="F601" t="s">
        <v>46</v>
      </c>
      <c r="G601" t="s">
        <v>46</v>
      </c>
      <c r="H601" t="s">
        <v>44</v>
      </c>
      <c r="I601" t="s">
        <v>105</v>
      </c>
    </row>
    <row r="602" spans="1:9">
      <c r="A602" t="s">
        <v>788</v>
      </c>
      <c r="B602" t="s">
        <v>1388</v>
      </c>
      <c r="C602" t="s">
        <v>44</v>
      </c>
      <c r="D602" t="s">
        <v>724</v>
      </c>
      <c r="E602">
        <v>1</v>
      </c>
      <c r="F602" t="s">
        <v>46</v>
      </c>
      <c r="G602" t="s">
        <v>46</v>
      </c>
      <c r="H602" t="s">
        <v>44</v>
      </c>
      <c r="I602" t="s">
        <v>105</v>
      </c>
    </row>
    <row r="603" spans="1:9">
      <c r="A603" t="s">
        <v>788</v>
      </c>
      <c r="B603" t="s">
        <v>1389</v>
      </c>
      <c r="D603" t="s">
        <v>725</v>
      </c>
      <c r="E603">
        <v>1</v>
      </c>
      <c r="F603" t="s">
        <v>49</v>
      </c>
      <c r="G603" t="s">
        <v>280</v>
      </c>
      <c r="H603" t="s">
        <v>280</v>
      </c>
      <c r="I603" t="s">
        <v>306</v>
      </c>
    </row>
    <row r="604" spans="1:9">
      <c r="A604" t="s">
        <v>788</v>
      </c>
      <c r="B604" t="s">
        <v>1390</v>
      </c>
      <c r="D604" t="s">
        <v>726</v>
      </c>
      <c r="E604">
        <v>1</v>
      </c>
      <c r="F604" t="s">
        <v>49</v>
      </c>
      <c r="G604" t="s">
        <v>50</v>
      </c>
      <c r="H604" t="s">
        <v>50</v>
      </c>
      <c r="I604" t="s">
        <v>459</v>
      </c>
    </row>
    <row r="605" spans="1:9">
      <c r="A605" t="s">
        <v>788</v>
      </c>
      <c r="B605" t="s">
        <v>1391</v>
      </c>
      <c r="D605" t="s">
        <v>727</v>
      </c>
      <c r="E605">
        <v>1</v>
      </c>
      <c r="F605" t="s">
        <v>154</v>
      </c>
      <c r="G605" t="s">
        <v>154</v>
      </c>
      <c r="H605" t="s">
        <v>154</v>
      </c>
      <c r="I605" t="s">
        <v>517</v>
      </c>
    </row>
    <row r="606" spans="1:9">
      <c r="A606" t="s">
        <v>788</v>
      </c>
      <c r="B606" t="s">
        <v>1392</v>
      </c>
      <c r="D606" t="s">
        <v>728</v>
      </c>
      <c r="E606">
        <v>1</v>
      </c>
      <c r="F606" t="s">
        <v>7</v>
      </c>
      <c r="G606" t="s">
        <v>7</v>
      </c>
      <c r="H606" t="s">
        <v>7</v>
      </c>
      <c r="I606" t="s">
        <v>7</v>
      </c>
    </row>
    <row r="607" spans="1:9">
      <c r="A607" t="s">
        <v>788</v>
      </c>
      <c r="B607" t="s">
        <v>1393</v>
      </c>
      <c r="C607" t="s">
        <v>334</v>
      </c>
      <c r="D607" t="s">
        <v>729</v>
      </c>
      <c r="E607">
        <v>1</v>
      </c>
      <c r="F607" t="s">
        <v>46</v>
      </c>
      <c r="G607" t="s">
        <v>46</v>
      </c>
      <c r="H607" t="s">
        <v>65</v>
      </c>
      <c r="I607" t="s">
        <v>339</v>
      </c>
    </row>
    <row r="608" spans="1:9">
      <c r="A608" t="s">
        <v>788</v>
      </c>
      <c r="B608" t="s">
        <v>1394</v>
      </c>
      <c r="C608" t="s">
        <v>334</v>
      </c>
      <c r="D608" t="s">
        <v>549</v>
      </c>
      <c r="E608">
        <v>1</v>
      </c>
      <c r="F608" t="s">
        <v>46</v>
      </c>
      <c r="G608" t="s">
        <v>46</v>
      </c>
      <c r="H608" t="s">
        <v>65</v>
      </c>
      <c r="I608" t="s">
        <v>339</v>
      </c>
    </row>
    <row r="609" spans="1:9">
      <c r="A609" t="s">
        <v>788</v>
      </c>
      <c r="B609" t="s">
        <v>1395</v>
      </c>
      <c r="C609" t="s">
        <v>334</v>
      </c>
      <c r="D609" t="s">
        <v>410</v>
      </c>
      <c r="E609">
        <v>1</v>
      </c>
      <c r="F609" t="s">
        <v>46</v>
      </c>
      <c r="G609" t="s">
        <v>46</v>
      </c>
      <c r="H609" t="s">
        <v>65</v>
      </c>
      <c r="I609" t="s">
        <v>339</v>
      </c>
    </row>
    <row r="610" spans="1:9">
      <c r="A610" t="s">
        <v>788</v>
      </c>
      <c r="B610" t="s">
        <v>1396</v>
      </c>
      <c r="C610" t="s">
        <v>334</v>
      </c>
      <c r="D610" t="s">
        <v>730</v>
      </c>
      <c r="E610">
        <v>1</v>
      </c>
      <c r="F610" t="s">
        <v>46</v>
      </c>
      <c r="G610" t="s">
        <v>46</v>
      </c>
      <c r="H610" t="s">
        <v>65</v>
      </c>
      <c r="I610" t="s">
        <v>339</v>
      </c>
    </row>
    <row r="611" spans="1:9">
      <c r="A611" t="s">
        <v>788</v>
      </c>
      <c r="B611" t="s">
        <v>1397</v>
      </c>
      <c r="C611" t="s">
        <v>334</v>
      </c>
      <c r="D611" t="s">
        <v>731</v>
      </c>
      <c r="E611">
        <v>1</v>
      </c>
      <c r="F611" t="s">
        <v>46</v>
      </c>
      <c r="G611" t="s">
        <v>46</v>
      </c>
      <c r="H611" t="s">
        <v>65</v>
      </c>
      <c r="I611" t="s">
        <v>339</v>
      </c>
    </row>
    <row r="612" spans="1:9">
      <c r="A612" t="s">
        <v>788</v>
      </c>
      <c r="B612" t="s">
        <v>1398</v>
      </c>
      <c r="C612" t="s">
        <v>73</v>
      </c>
      <c r="D612" t="s">
        <v>732</v>
      </c>
      <c r="E612">
        <v>1</v>
      </c>
      <c r="F612" t="s">
        <v>46</v>
      </c>
      <c r="G612" t="s">
        <v>46</v>
      </c>
      <c r="H612" t="s">
        <v>65</v>
      </c>
      <c r="I612" t="s">
        <v>339</v>
      </c>
    </row>
    <row r="613" spans="1:9">
      <c r="A613" t="s">
        <v>788</v>
      </c>
      <c r="B613" t="s">
        <v>1399</v>
      </c>
      <c r="C613" t="s">
        <v>73</v>
      </c>
      <c r="D613" t="s">
        <v>733</v>
      </c>
      <c r="E613">
        <v>1</v>
      </c>
      <c r="F613" t="s">
        <v>46</v>
      </c>
      <c r="G613" t="s">
        <v>46</v>
      </c>
      <c r="H613" t="s">
        <v>65</v>
      </c>
      <c r="I613" t="s">
        <v>339</v>
      </c>
    </row>
    <row r="614" spans="1:9">
      <c r="A614" t="s">
        <v>788</v>
      </c>
      <c r="B614" t="s">
        <v>1400</v>
      </c>
      <c r="C614" t="s">
        <v>142</v>
      </c>
      <c r="D614" t="s">
        <v>734</v>
      </c>
      <c r="E614">
        <v>1</v>
      </c>
      <c r="F614" t="s">
        <v>46</v>
      </c>
      <c r="G614" t="s">
        <v>46</v>
      </c>
      <c r="H614" t="s">
        <v>65</v>
      </c>
      <c r="I614" t="s">
        <v>339</v>
      </c>
    </row>
    <row r="615" spans="1:9">
      <c r="A615" t="s">
        <v>788</v>
      </c>
      <c r="B615" t="s">
        <v>1401</v>
      </c>
      <c r="C615" t="s">
        <v>69</v>
      </c>
      <c r="D615" t="s">
        <v>735</v>
      </c>
      <c r="E615">
        <v>1</v>
      </c>
      <c r="F615" t="s">
        <v>46</v>
      </c>
      <c r="G615" t="s">
        <v>70</v>
      </c>
      <c r="H615" t="s">
        <v>69</v>
      </c>
      <c r="I615" t="s">
        <v>82</v>
      </c>
    </row>
    <row r="616" spans="1:9">
      <c r="A616" t="s">
        <v>788</v>
      </c>
      <c r="B616" t="s">
        <v>1402</v>
      </c>
      <c r="C616" t="s">
        <v>67</v>
      </c>
      <c r="D616" t="s">
        <v>736</v>
      </c>
      <c r="E616">
        <v>1</v>
      </c>
      <c r="F616" t="s">
        <v>46</v>
      </c>
      <c r="G616" t="s">
        <v>46</v>
      </c>
      <c r="H616" t="s">
        <v>65</v>
      </c>
      <c r="I616" t="s">
        <v>339</v>
      </c>
    </row>
    <row r="617" spans="1:9">
      <c r="A617" t="s">
        <v>788</v>
      </c>
      <c r="B617" t="s">
        <v>1403</v>
      </c>
      <c r="C617" t="s">
        <v>69</v>
      </c>
      <c r="D617" t="s">
        <v>737</v>
      </c>
      <c r="E617">
        <v>1</v>
      </c>
      <c r="F617" t="s">
        <v>46</v>
      </c>
      <c r="G617" t="s">
        <v>70</v>
      </c>
      <c r="H617" t="s">
        <v>69</v>
      </c>
      <c r="I617" t="s">
        <v>82</v>
      </c>
    </row>
    <row r="618" spans="1:9">
      <c r="A618" t="s">
        <v>788</v>
      </c>
      <c r="B618" t="s">
        <v>1404</v>
      </c>
      <c r="C618" t="s">
        <v>73</v>
      </c>
      <c r="D618" t="s">
        <v>415</v>
      </c>
      <c r="E618">
        <v>1</v>
      </c>
      <c r="F618" t="s">
        <v>46</v>
      </c>
      <c r="G618" t="s">
        <v>46</v>
      </c>
      <c r="H618" t="s">
        <v>40</v>
      </c>
      <c r="I618" t="s">
        <v>383</v>
      </c>
    </row>
    <row r="619" spans="1:9">
      <c r="A619" t="s">
        <v>788</v>
      </c>
      <c r="B619" t="s">
        <v>1405</v>
      </c>
      <c r="D619" t="s">
        <v>700</v>
      </c>
      <c r="E619">
        <v>1</v>
      </c>
      <c r="F619" t="s">
        <v>46</v>
      </c>
      <c r="G619" t="s">
        <v>114</v>
      </c>
      <c r="H619" t="s">
        <v>114</v>
      </c>
      <c r="I619" t="s">
        <v>173</v>
      </c>
    </row>
    <row r="620" spans="1:9">
      <c r="A620" t="s">
        <v>788</v>
      </c>
      <c r="B620" t="s">
        <v>1406</v>
      </c>
      <c r="D620" t="s">
        <v>738</v>
      </c>
      <c r="E620">
        <v>1</v>
      </c>
      <c r="F620" t="s">
        <v>46</v>
      </c>
      <c r="G620" t="s">
        <v>114</v>
      </c>
      <c r="H620" t="s">
        <v>114</v>
      </c>
      <c r="I620" t="s">
        <v>173</v>
      </c>
    </row>
    <row r="621" spans="1:9">
      <c r="A621" t="s">
        <v>788</v>
      </c>
      <c r="B621" t="s">
        <v>1407</v>
      </c>
      <c r="D621" t="s">
        <v>739</v>
      </c>
      <c r="E621">
        <v>1</v>
      </c>
      <c r="F621" t="s">
        <v>46</v>
      </c>
      <c r="G621" t="s">
        <v>114</v>
      </c>
      <c r="H621" t="s">
        <v>114</v>
      </c>
      <c r="I621" t="s">
        <v>173</v>
      </c>
    </row>
    <row r="622" spans="1:9">
      <c r="A622" t="s">
        <v>788</v>
      </c>
      <c r="B622" t="s">
        <v>1408</v>
      </c>
      <c r="D622" t="s">
        <v>144</v>
      </c>
      <c r="E622">
        <v>1</v>
      </c>
      <c r="F622" t="s">
        <v>154</v>
      </c>
      <c r="G622" t="s">
        <v>154</v>
      </c>
      <c r="H622" t="s">
        <v>154</v>
      </c>
      <c r="I622" t="s">
        <v>517</v>
      </c>
    </row>
    <row r="623" spans="1:9">
      <c r="A623" t="s">
        <v>788</v>
      </c>
      <c r="B623" t="s">
        <v>1409</v>
      </c>
      <c r="D623" t="s">
        <v>740</v>
      </c>
      <c r="E623">
        <v>1</v>
      </c>
      <c r="F623" t="s">
        <v>154</v>
      </c>
      <c r="G623" t="s">
        <v>154</v>
      </c>
      <c r="H623" t="s">
        <v>155</v>
      </c>
      <c r="I623" t="s">
        <v>741</v>
      </c>
    </row>
    <row r="624" spans="1:9">
      <c r="A624" t="s">
        <v>788</v>
      </c>
      <c r="B624" t="s">
        <v>1410</v>
      </c>
      <c r="C624" t="s">
        <v>742</v>
      </c>
      <c r="D624" t="s">
        <v>743</v>
      </c>
      <c r="E624">
        <v>1</v>
      </c>
      <c r="F624" t="s">
        <v>46</v>
      </c>
      <c r="G624" t="s">
        <v>46</v>
      </c>
      <c r="H624" t="s">
        <v>40</v>
      </c>
      <c r="I624" t="s">
        <v>383</v>
      </c>
    </row>
    <row r="625" spans="1:9">
      <c r="A625" t="s">
        <v>788</v>
      </c>
      <c r="B625" t="s">
        <v>1411</v>
      </c>
      <c r="C625" t="s">
        <v>195</v>
      </c>
      <c r="D625" t="s">
        <v>744</v>
      </c>
      <c r="E625">
        <v>1</v>
      </c>
      <c r="F625" t="s">
        <v>46</v>
      </c>
      <c r="G625" t="s">
        <v>46</v>
      </c>
      <c r="H625" t="s">
        <v>40</v>
      </c>
      <c r="I625" t="s">
        <v>383</v>
      </c>
    </row>
    <row r="626" spans="1:9">
      <c r="A626" t="s">
        <v>788</v>
      </c>
      <c r="B626" t="s">
        <v>1412</v>
      </c>
      <c r="D626" t="s">
        <v>745</v>
      </c>
      <c r="E626">
        <v>1</v>
      </c>
      <c r="F626" t="s">
        <v>49</v>
      </c>
      <c r="G626" t="s">
        <v>52</v>
      </c>
      <c r="H626" t="s">
        <v>52</v>
      </c>
      <c r="I626" t="s">
        <v>171</v>
      </c>
    </row>
    <row r="627" spans="1:9">
      <c r="A627" t="s">
        <v>788</v>
      </c>
      <c r="B627" t="s">
        <v>1413</v>
      </c>
      <c r="C627" t="s">
        <v>265</v>
      </c>
      <c r="D627" t="s">
        <v>746</v>
      </c>
      <c r="E627">
        <v>1</v>
      </c>
      <c r="F627" t="s">
        <v>46</v>
      </c>
      <c r="G627" t="s">
        <v>46</v>
      </c>
      <c r="H627" t="s">
        <v>266</v>
      </c>
      <c r="I627" t="s">
        <v>383</v>
      </c>
    </row>
    <row r="628" spans="1:9">
      <c r="A628" t="s">
        <v>788</v>
      </c>
      <c r="B628" t="s">
        <v>1414</v>
      </c>
      <c r="D628" t="s">
        <v>747</v>
      </c>
      <c r="E628">
        <v>1</v>
      </c>
      <c r="F628" t="s">
        <v>46</v>
      </c>
      <c r="G628" t="s">
        <v>114</v>
      </c>
      <c r="H628" t="s">
        <v>114</v>
      </c>
      <c r="I628" t="s">
        <v>119</v>
      </c>
    </row>
    <row r="629" spans="1:9">
      <c r="A629" t="s">
        <v>788</v>
      </c>
      <c r="B629" t="s">
        <v>1415</v>
      </c>
      <c r="D629" t="s">
        <v>748</v>
      </c>
      <c r="E629">
        <v>1</v>
      </c>
      <c r="F629" t="s">
        <v>46</v>
      </c>
      <c r="G629" t="s">
        <v>114</v>
      </c>
      <c r="H629" t="s">
        <v>114</v>
      </c>
      <c r="I629" t="s">
        <v>119</v>
      </c>
    </row>
    <row r="630" spans="1:9">
      <c r="A630" t="s">
        <v>788</v>
      </c>
      <c r="B630" t="s">
        <v>1416</v>
      </c>
      <c r="C630" t="s">
        <v>334</v>
      </c>
      <c r="D630" t="s">
        <v>749</v>
      </c>
      <c r="E630">
        <v>1</v>
      </c>
      <c r="F630" t="s">
        <v>46</v>
      </c>
      <c r="G630" t="s">
        <v>46</v>
      </c>
      <c r="H630" t="s">
        <v>65</v>
      </c>
      <c r="I630" t="s">
        <v>339</v>
      </c>
    </row>
    <row r="631" spans="1:9">
      <c r="A631" t="s">
        <v>788</v>
      </c>
      <c r="B631" t="s">
        <v>1417</v>
      </c>
      <c r="C631" t="s">
        <v>334</v>
      </c>
      <c r="D631" t="s">
        <v>127</v>
      </c>
      <c r="E631">
        <v>1</v>
      </c>
      <c r="F631" t="s">
        <v>46</v>
      </c>
      <c r="G631" t="s">
        <v>46</v>
      </c>
      <c r="H631" t="s">
        <v>65</v>
      </c>
      <c r="I631" t="s">
        <v>339</v>
      </c>
    </row>
    <row r="632" spans="1:9">
      <c r="A632" t="s">
        <v>788</v>
      </c>
      <c r="B632" t="s">
        <v>1418</v>
      </c>
      <c r="C632" t="s">
        <v>334</v>
      </c>
      <c r="D632" t="s">
        <v>750</v>
      </c>
      <c r="E632">
        <v>1</v>
      </c>
      <c r="F632" t="s">
        <v>46</v>
      </c>
      <c r="G632" t="s">
        <v>46</v>
      </c>
      <c r="H632" t="s">
        <v>65</v>
      </c>
      <c r="I632" t="s">
        <v>339</v>
      </c>
    </row>
    <row r="633" spans="1:9">
      <c r="A633" t="s">
        <v>788</v>
      </c>
      <c r="B633" t="s">
        <v>1419</v>
      </c>
      <c r="C633" t="s">
        <v>334</v>
      </c>
      <c r="D633" t="s">
        <v>751</v>
      </c>
      <c r="E633">
        <v>1</v>
      </c>
      <c r="F633" t="s">
        <v>46</v>
      </c>
      <c r="G633" t="s">
        <v>46</v>
      </c>
      <c r="H633" t="s">
        <v>65</v>
      </c>
      <c r="I633" t="s">
        <v>339</v>
      </c>
    </row>
    <row r="634" spans="1:9">
      <c r="A634" t="s">
        <v>788</v>
      </c>
      <c r="B634" t="s">
        <v>1420</v>
      </c>
      <c r="C634" t="s">
        <v>334</v>
      </c>
      <c r="D634" t="s">
        <v>752</v>
      </c>
      <c r="E634">
        <v>1</v>
      </c>
      <c r="F634" t="s">
        <v>46</v>
      </c>
      <c r="G634" t="s">
        <v>46</v>
      </c>
      <c r="H634" t="s">
        <v>65</v>
      </c>
      <c r="I634" t="s">
        <v>339</v>
      </c>
    </row>
    <row r="635" spans="1:9">
      <c r="A635" t="s">
        <v>788</v>
      </c>
      <c r="B635" t="s">
        <v>1421</v>
      </c>
      <c r="C635" t="s">
        <v>334</v>
      </c>
      <c r="D635" t="s">
        <v>753</v>
      </c>
      <c r="E635">
        <v>1</v>
      </c>
      <c r="F635" t="s">
        <v>46</v>
      </c>
      <c r="G635" t="s">
        <v>46</v>
      </c>
      <c r="H635" t="s">
        <v>65</v>
      </c>
      <c r="I635" t="s">
        <v>339</v>
      </c>
    </row>
    <row r="636" spans="1:9">
      <c r="A636" t="s">
        <v>788</v>
      </c>
      <c r="B636" t="s">
        <v>1422</v>
      </c>
      <c r="C636" t="s">
        <v>334</v>
      </c>
      <c r="D636" t="s">
        <v>175</v>
      </c>
      <c r="E636">
        <v>1</v>
      </c>
      <c r="F636" t="s">
        <v>46</v>
      </c>
      <c r="G636" t="s">
        <v>46</v>
      </c>
      <c r="H636" t="s">
        <v>65</v>
      </c>
      <c r="I636" t="s">
        <v>339</v>
      </c>
    </row>
    <row r="637" spans="1:9">
      <c r="A637" t="s">
        <v>788</v>
      </c>
      <c r="B637" t="s">
        <v>1423</v>
      </c>
      <c r="C637" t="s">
        <v>334</v>
      </c>
      <c r="D637" t="s">
        <v>754</v>
      </c>
      <c r="E637">
        <v>1</v>
      </c>
      <c r="F637" t="s">
        <v>46</v>
      </c>
      <c r="G637" t="s">
        <v>46</v>
      </c>
      <c r="H637" t="s">
        <v>65</v>
      </c>
      <c r="I637" t="s">
        <v>339</v>
      </c>
    </row>
    <row r="638" spans="1:9">
      <c r="A638" t="s">
        <v>788</v>
      </c>
      <c r="B638" t="s">
        <v>1424</v>
      </c>
      <c r="C638" t="s">
        <v>334</v>
      </c>
      <c r="D638" t="s">
        <v>755</v>
      </c>
      <c r="E638">
        <v>1</v>
      </c>
      <c r="F638" t="s">
        <v>46</v>
      </c>
      <c r="G638" t="s">
        <v>46</v>
      </c>
      <c r="H638" t="s">
        <v>65</v>
      </c>
      <c r="I638" t="s">
        <v>339</v>
      </c>
    </row>
    <row r="639" spans="1:9">
      <c r="A639" t="s">
        <v>788</v>
      </c>
      <c r="B639" t="s">
        <v>1425</v>
      </c>
      <c r="C639" t="s">
        <v>334</v>
      </c>
      <c r="D639" t="s">
        <v>756</v>
      </c>
      <c r="E639">
        <v>1</v>
      </c>
      <c r="F639" t="s">
        <v>46</v>
      </c>
      <c r="G639" t="s">
        <v>46</v>
      </c>
      <c r="H639" t="s">
        <v>65</v>
      </c>
      <c r="I639" t="s">
        <v>339</v>
      </c>
    </row>
    <row r="640" spans="1:9">
      <c r="A640" t="s">
        <v>788</v>
      </c>
      <c r="B640" t="s">
        <v>1426</v>
      </c>
      <c r="C640" t="s">
        <v>334</v>
      </c>
      <c r="D640" t="s">
        <v>284</v>
      </c>
      <c r="E640">
        <v>1</v>
      </c>
      <c r="F640" t="s">
        <v>46</v>
      </c>
      <c r="G640" t="s">
        <v>46</v>
      </c>
      <c r="H640" t="s">
        <v>65</v>
      </c>
      <c r="I640" t="s">
        <v>339</v>
      </c>
    </row>
    <row r="641" spans="1:9">
      <c r="A641" t="s">
        <v>788</v>
      </c>
      <c r="B641" t="s">
        <v>1427</v>
      </c>
      <c r="C641" t="s">
        <v>265</v>
      </c>
      <c r="D641" t="s">
        <v>757</v>
      </c>
      <c r="E641">
        <v>1</v>
      </c>
      <c r="F641" t="s">
        <v>46</v>
      </c>
      <c r="G641" t="s">
        <v>46</v>
      </c>
      <c r="H641" t="s">
        <v>266</v>
      </c>
      <c r="I641" t="s">
        <v>383</v>
      </c>
    </row>
    <row r="642" spans="1:9">
      <c r="A642" t="s">
        <v>788</v>
      </c>
      <c r="B642" t="s">
        <v>1428</v>
      </c>
      <c r="C642" t="s">
        <v>265</v>
      </c>
      <c r="D642" t="s">
        <v>758</v>
      </c>
      <c r="E642">
        <v>1</v>
      </c>
      <c r="F642" t="s">
        <v>46</v>
      </c>
      <c r="G642" t="s">
        <v>46</v>
      </c>
      <c r="H642" t="s">
        <v>266</v>
      </c>
      <c r="I642" t="s">
        <v>383</v>
      </c>
    </row>
    <row r="643" spans="1:9">
      <c r="A643" t="s">
        <v>788</v>
      </c>
      <c r="B643" t="s">
        <v>1429</v>
      </c>
      <c r="C643" t="s">
        <v>265</v>
      </c>
      <c r="D643" t="s">
        <v>759</v>
      </c>
      <c r="E643">
        <v>1</v>
      </c>
      <c r="F643" t="s">
        <v>46</v>
      </c>
      <c r="G643" t="s">
        <v>46</v>
      </c>
      <c r="H643" t="s">
        <v>266</v>
      </c>
      <c r="I643" t="s">
        <v>383</v>
      </c>
    </row>
    <row r="644" spans="1:9">
      <c r="A644" t="s">
        <v>788</v>
      </c>
      <c r="B644" t="s">
        <v>1430</v>
      </c>
      <c r="C644" t="s">
        <v>89</v>
      </c>
      <c r="D644" t="s">
        <v>760</v>
      </c>
      <c r="E644">
        <v>1</v>
      </c>
      <c r="F644" t="s">
        <v>46</v>
      </c>
      <c r="G644" t="s">
        <v>46</v>
      </c>
      <c r="H644" t="s">
        <v>40</v>
      </c>
      <c r="I644" t="s">
        <v>383</v>
      </c>
    </row>
    <row r="645" spans="1:9">
      <c r="A645" t="s">
        <v>788</v>
      </c>
      <c r="B645" t="s">
        <v>1431</v>
      </c>
      <c r="C645" t="s">
        <v>265</v>
      </c>
      <c r="D645" t="s">
        <v>761</v>
      </c>
      <c r="E645">
        <v>1</v>
      </c>
      <c r="F645" t="s">
        <v>46</v>
      </c>
      <c r="G645" t="s">
        <v>46</v>
      </c>
      <c r="H645" t="s">
        <v>266</v>
      </c>
      <c r="I645" t="s">
        <v>383</v>
      </c>
    </row>
    <row r="646" spans="1:9">
      <c r="A646" t="s">
        <v>788</v>
      </c>
      <c r="B646" t="s">
        <v>1432</v>
      </c>
      <c r="C646" t="s">
        <v>265</v>
      </c>
      <c r="D646" t="s">
        <v>762</v>
      </c>
      <c r="E646">
        <v>1</v>
      </c>
      <c r="F646" t="s">
        <v>46</v>
      </c>
      <c r="G646" t="s">
        <v>46</v>
      </c>
      <c r="H646" t="s">
        <v>266</v>
      </c>
      <c r="I646" t="s">
        <v>383</v>
      </c>
    </row>
    <row r="647" spans="1:9">
      <c r="A647" t="s">
        <v>788</v>
      </c>
      <c r="B647" t="s">
        <v>1433</v>
      </c>
      <c r="C647" t="s">
        <v>265</v>
      </c>
      <c r="D647" t="s">
        <v>763</v>
      </c>
      <c r="E647">
        <v>1</v>
      </c>
      <c r="F647" t="s">
        <v>46</v>
      </c>
      <c r="G647" t="s">
        <v>46</v>
      </c>
      <c r="H647" t="s">
        <v>266</v>
      </c>
      <c r="I647" t="s">
        <v>383</v>
      </c>
    </row>
    <row r="648" spans="1:9">
      <c r="A648" t="s">
        <v>788</v>
      </c>
      <c r="B648" t="s">
        <v>1434</v>
      </c>
      <c r="D648" t="s">
        <v>764</v>
      </c>
      <c r="E648">
        <v>1</v>
      </c>
      <c r="F648" t="s">
        <v>49</v>
      </c>
      <c r="G648" t="s">
        <v>52</v>
      </c>
      <c r="H648" t="s">
        <v>52</v>
      </c>
      <c r="I648" t="s">
        <v>765</v>
      </c>
    </row>
    <row r="649" spans="1:9">
      <c r="A649" t="s">
        <v>788</v>
      </c>
      <c r="B649" t="s">
        <v>1435</v>
      </c>
      <c r="C649" t="s">
        <v>334</v>
      </c>
      <c r="D649" t="s">
        <v>766</v>
      </c>
      <c r="E649">
        <v>1</v>
      </c>
      <c r="F649" t="s">
        <v>46</v>
      </c>
      <c r="G649" t="s">
        <v>46</v>
      </c>
      <c r="H649" t="s">
        <v>65</v>
      </c>
      <c r="I649" t="s">
        <v>339</v>
      </c>
    </row>
    <row r="650" spans="1:9">
      <c r="A650" t="s">
        <v>788</v>
      </c>
      <c r="B650" t="s">
        <v>1436</v>
      </c>
      <c r="C650" t="s">
        <v>334</v>
      </c>
      <c r="D650" t="s">
        <v>767</v>
      </c>
      <c r="E650">
        <v>1</v>
      </c>
      <c r="F650" t="s">
        <v>46</v>
      </c>
      <c r="G650" t="s">
        <v>46</v>
      </c>
      <c r="H650" t="s">
        <v>65</v>
      </c>
      <c r="I650" t="s">
        <v>339</v>
      </c>
    </row>
    <row r="651" spans="1:9">
      <c r="A651" t="s">
        <v>788</v>
      </c>
      <c r="B651" t="s">
        <v>1437</v>
      </c>
      <c r="C651" t="s">
        <v>334</v>
      </c>
      <c r="D651" t="s">
        <v>768</v>
      </c>
      <c r="E651">
        <v>1</v>
      </c>
      <c r="F651" t="s">
        <v>46</v>
      </c>
      <c r="G651" t="s">
        <v>46</v>
      </c>
      <c r="H651" t="s">
        <v>65</v>
      </c>
      <c r="I651" t="s">
        <v>339</v>
      </c>
    </row>
    <row r="652" spans="1:9">
      <c r="A652" t="s">
        <v>788</v>
      </c>
      <c r="B652" t="s">
        <v>1438</v>
      </c>
      <c r="C652" t="s">
        <v>334</v>
      </c>
      <c r="D652" t="s">
        <v>769</v>
      </c>
      <c r="E652">
        <v>1</v>
      </c>
      <c r="F652" t="s">
        <v>46</v>
      </c>
      <c r="G652" t="s">
        <v>46</v>
      </c>
      <c r="H652" t="s">
        <v>65</v>
      </c>
      <c r="I652" t="s">
        <v>339</v>
      </c>
    </row>
    <row r="653" spans="1:9">
      <c r="A653" t="s">
        <v>788</v>
      </c>
      <c r="B653" t="s">
        <v>1439</v>
      </c>
      <c r="C653" t="s">
        <v>79</v>
      </c>
      <c r="D653" t="s">
        <v>606</v>
      </c>
      <c r="E653">
        <v>1</v>
      </c>
      <c r="F653" t="s">
        <v>46</v>
      </c>
      <c r="G653" t="s">
        <v>46</v>
      </c>
      <c r="H653" t="s">
        <v>40</v>
      </c>
      <c r="I653" t="s">
        <v>383</v>
      </c>
    </row>
    <row r="654" spans="1:9">
      <c r="A654" t="s">
        <v>788</v>
      </c>
      <c r="B654" t="s">
        <v>1440</v>
      </c>
      <c r="C654" t="s">
        <v>265</v>
      </c>
      <c r="D654" t="s">
        <v>611</v>
      </c>
      <c r="E654">
        <v>1</v>
      </c>
      <c r="F654" t="s">
        <v>46</v>
      </c>
      <c r="G654" t="s">
        <v>46</v>
      </c>
      <c r="H654" t="s">
        <v>266</v>
      </c>
      <c r="I654" t="s">
        <v>383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2BE8-C7B5-4AC8-9CF7-DB9771FBE17A}">
  <sheetPr codeName="Sheet4"/>
  <dimension ref="A1:F40"/>
  <sheetViews>
    <sheetView workbookViewId="0">
      <selection activeCell="N10" sqref="N10"/>
    </sheetView>
  </sheetViews>
  <sheetFormatPr defaultRowHeight="14.4"/>
  <cols>
    <col min="2" max="2" width="32.5546875" customWidth="1"/>
    <col min="3" max="4" width="26" customWidth="1"/>
    <col min="5" max="5" width="24.77734375" customWidth="1"/>
  </cols>
  <sheetData>
    <row r="1" spans="1:6">
      <c r="A1" s="2" t="s">
        <v>772</v>
      </c>
      <c r="B1" s="2" t="s">
        <v>770</v>
      </c>
      <c r="C1" s="2" t="s">
        <v>771</v>
      </c>
      <c r="D1" s="2" t="s">
        <v>5</v>
      </c>
      <c r="E1" s="2" t="s">
        <v>773</v>
      </c>
      <c r="F1" s="2" t="s">
        <v>776</v>
      </c>
    </row>
    <row r="2" spans="1:6">
      <c r="A2" s="1">
        <f ca="1">TODAY()</f>
        <v>45425</v>
      </c>
      <c r="B2" t="s">
        <v>107</v>
      </c>
      <c r="C2" t="s">
        <v>107</v>
      </c>
      <c r="D2">
        <v>-7</v>
      </c>
      <c r="E2" s="1">
        <f ca="1">$A$2+D2</f>
        <v>45418</v>
      </c>
      <c r="F2" s="3" t="s">
        <v>779</v>
      </c>
    </row>
    <row r="3" spans="1:6">
      <c r="B3" t="s">
        <v>280</v>
      </c>
      <c r="C3" t="s">
        <v>117</v>
      </c>
      <c r="D3">
        <v>-6</v>
      </c>
      <c r="E3" s="1">
        <f t="shared" ref="E3:E40" ca="1" si="0">$A$2+D3</f>
        <v>45419</v>
      </c>
      <c r="F3" s="3" t="s">
        <v>780</v>
      </c>
    </row>
    <row r="4" spans="1:6">
      <c r="B4" t="s">
        <v>70</v>
      </c>
      <c r="C4" t="s">
        <v>280</v>
      </c>
      <c r="D4">
        <v>-5</v>
      </c>
      <c r="E4" s="1">
        <f t="shared" ca="1" si="0"/>
        <v>45420</v>
      </c>
    </row>
    <row r="5" spans="1:6">
      <c r="B5" t="s">
        <v>52</v>
      </c>
      <c r="C5" t="s">
        <v>44</v>
      </c>
      <c r="D5">
        <v>-4</v>
      </c>
      <c r="E5" s="1">
        <f t="shared" ca="1" si="0"/>
        <v>45421</v>
      </c>
    </row>
    <row r="6" spans="1:6">
      <c r="B6" t="s">
        <v>49</v>
      </c>
      <c r="C6" t="s">
        <v>265</v>
      </c>
      <c r="D6">
        <v>-3</v>
      </c>
      <c r="E6" s="1">
        <f t="shared" ca="1" si="0"/>
        <v>45422</v>
      </c>
    </row>
    <row r="7" spans="1:6">
      <c r="B7" t="s">
        <v>116</v>
      </c>
      <c r="C7" t="s">
        <v>124</v>
      </c>
      <c r="D7">
        <v>-2</v>
      </c>
      <c r="E7" s="1">
        <f t="shared" ca="1" si="0"/>
        <v>45423</v>
      </c>
    </row>
    <row r="8" spans="1:6">
      <c r="B8" t="s">
        <v>114</v>
      </c>
      <c r="C8" t="s">
        <v>52</v>
      </c>
      <c r="D8">
        <v>-1</v>
      </c>
      <c r="E8" s="1">
        <f t="shared" ca="1" si="0"/>
        <v>45424</v>
      </c>
    </row>
    <row r="9" spans="1:6">
      <c r="B9" t="s">
        <v>46</v>
      </c>
      <c r="C9" t="s">
        <v>63</v>
      </c>
      <c r="D9">
        <v>0</v>
      </c>
      <c r="E9" s="1">
        <f t="shared" ca="1" si="0"/>
        <v>45425</v>
      </c>
    </row>
    <row r="10" spans="1:6">
      <c r="B10" t="s">
        <v>276</v>
      </c>
      <c r="C10" t="s">
        <v>88</v>
      </c>
      <c r="D10">
        <v>1</v>
      </c>
      <c r="E10" s="1">
        <f t="shared" ca="1" si="0"/>
        <v>45426</v>
      </c>
    </row>
    <row r="11" spans="1:6">
      <c r="B11" t="s">
        <v>154</v>
      </c>
      <c r="C11" t="s">
        <v>67</v>
      </c>
      <c r="D11">
        <v>2</v>
      </c>
      <c r="E11" s="1">
        <f t="shared" ca="1" si="0"/>
        <v>45427</v>
      </c>
    </row>
    <row r="12" spans="1:6">
      <c r="B12" t="s">
        <v>50</v>
      </c>
      <c r="C12" t="s">
        <v>85</v>
      </c>
      <c r="D12">
        <v>3</v>
      </c>
      <c r="E12" s="1">
        <f t="shared" ca="1" si="0"/>
        <v>45428</v>
      </c>
    </row>
    <row r="13" spans="1:6">
      <c r="B13" t="s">
        <v>42</v>
      </c>
      <c r="C13" t="s">
        <v>142</v>
      </c>
      <c r="D13">
        <v>4</v>
      </c>
      <c r="E13" s="1">
        <f t="shared" ca="1" si="0"/>
        <v>45429</v>
      </c>
    </row>
    <row r="14" spans="1:6">
      <c r="B14" s="4" t="s">
        <v>785</v>
      </c>
      <c r="C14" t="s">
        <v>89</v>
      </c>
      <c r="D14">
        <v>5</v>
      </c>
      <c r="E14" s="1">
        <f t="shared" ca="1" si="0"/>
        <v>45430</v>
      </c>
    </row>
    <row r="15" spans="1:6">
      <c r="B15" s="4"/>
      <c r="C15" t="s">
        <v>195</v>
      </c>
      <c r="D15">
        <v>6</v>
      </c>
      <c r="E15" s="1">
        <f t="shared" ca="1" si="0"/>
        <v>45431</v>
      </c>
    </row>
    <row r="16" spans="1:6">
      <c r="C16" t="s">
        <v>160</v>
      </c>
      <c r="D16">
        <v>7</v>
      </c>
      <c r="E16" s="1">
        <f t="shared" ca="1" si="0"/>
        <v>45432</v>
      </c>
    </row>
    <row r="17" spans="3:5">
      <c r="C17" t="s">
        <v>79</v>
      </c>
      <c r="D17">
        <v>8</v>
      </c>
      <c r="E17" s="1">
        <f t="shared" ca="1" si="0"/>
        <v>45433</v>
      </c>
    </row>
    <row r="18" spans="3:5">
      <c r="C18" s="2" t="s">
        <v>93</v>
      </c>
      <c r="D18">
        <v>9</v>
      </c>
      <c r="E18" s="1">
        <f t="shared" ca="1" si="0"/>
        <v>45434</v>
      </c>
    </row>
    <row r="19" spans="3:5">
      <c r="C19" s="4" t="s">
        <v>73</v>
      </c>
      <c r="D19">
        <v>10</v>
      </c>
      <c r="E19" s="1">
        <f t="shared" ca="1" si="0"/>
        <v>45435</v>
      </c>
    </row>
    <row r="20" spans="3:5">
      <c r="C20" t="s">
        <v>698</v>
      </c>
      <c r="D20">
        <v>11</v>
      </c>
      <c r="E20" s="1">
        <f t="shared" ca="1" si="0"/>
        <v>45436</v>
      </c>
    </row>
    <row r="21" spans="3:5">
      <c r="C21" t="s">
        <v>211</v>
      </c>
      <c r="D21">
        <v>12</v>
      </c>
      <c r="E21" s="1">
        <f t="shared" ca="1" si="0"/>
        <v>45437</v>
      </c>
    </row>
    <row r="22" spans="3:5">
      <c r="C22" t="s">
        <v>111</v>
      </c>
      <c r="D22">
        <v>13</v>
      </c>
      <c r="E22" s="1">
        <f t="shared" ca="1" si="0"/>
        <v>45438</v>
      </c>
    </row>
    <row r="23" spans="3:5">
      <c r="C23" t="s">
        <v>58</v>
      </c>
      <c r="D23">
        <v>14</v>
      </c>
      <c r="E23" s="1">
        <f t="shared" ca="1" si="0"/>
        <v>45439</v>
      </c>
    </row>
    <row r="24" spans="3:5">
      <c r="C24" t="s">
        <v>51</v>
      </c>
      <c r="D24">
        <v>15</v>
      </c>
      <c r="E24" s="1">
        <f t="shared" ca="1" si="0"/>
        <v>45440</v>
      </c>
    </row>
    <row r="25" spans="3:5">
      <c r="C25" t="s">
        <v>49</v>
      </c>
      <c r="D25">
        <v>16</v>
      </c>
      <c r="E25" s="1">
        <f t="shared" ca="1" si="0"/>
        <v>45441</v>
      </c>
    </row>
    <row r="26" spans="3:5">
      <c r="C26" t="s">
        <v>114</v>
      </c>
      <c r="D26">
        <v>17</v>
      </c>
      <c r="E26" s="1">
        <f t="shared" ca="1" si="0"/>
        <v>45442</v>
      </c>
    </row>
    <row r="27" spans="3:5">
      <c r="C27" t="s">
        <v>177</v>
      </c>
      <c r="D27">
        <v>18</v>
      </c>
      <c r="E27" s="1">
        <f t="shared" ca="1" si="0"/>
        <v>45443</v>
      </c>
    </row>
    <row r="28" spans="3:5">
      <c r="C28" t="s">
        <v>276</v>
      </c>
      <c r="D28">
        <v>19</v>
      </c>
      <c r="E28" s="1">
        <f t="shared" ca="1" si="0"/>
        <v>45444</v>
      </c>
    </row>
    <row r="29" spans="3:5">
      <c r="C29" t="s">
        <v>154</v>
      </c>
      <c r="D29">
        <v>20</v>
      </c>
      <c r="E29" s="1">
        <f t="shared" ca="1" si="0"/>
        <v>45445</v>
      </c>
    </row>
    <row r="30" spans="3:5">
      <c r="C30" t="s">
        <v>155</v>
      </c>
      <c r="D30">
        <v>21</v>
      </c>
      <c r="E30" s="1">
        <f t="shared" ca="1" si="0"/>
        <v>45446</v>
      </c>
    </row>
    <row r="31" spans="3:5">
      <c r="C31" t="s">
        <v>69</v>
      </c>
      <c r="D31">
        <v>22</v>
      </c>
      <c r="E31" s="1">
        <f t="shared" ca="1" si="0"/>
        <v>45447</v>
      </c>
    </row>
    <row r="32" spans="3:5">
      <c r="C32" t="s">
        <v>619</v>
      </c>
      <c r="D32">
        <v>23</v>
      </c>
      <c r="E32" s="1">
        <f t="shared" ca="1" si="0"/>
        <v>45448</v>
      </c>
    </row>
    <row r="33" spans="3:5">
      <c r="C33" t="s">
        <v>50</v>
      </c>
      <c r="D33">
        <v>24</v>
      </c>
      <c r="E33" s="1">
        <f t="shared" ca="1" si="0"/>
        <v>45449</v>
      </c>
    </row>
    <row r="34" spans="3:5">
      <c r="C34" t="s">
        <v>334</v>
      </c>
      <c r="D34">
        <v>25</v>
      </c>
      <c r="E34" s="1">
        <f t="shared" ca="1" si="0"/>
        <v>45450</v>
      </c>
    </row>
    <row r="35" spans="3:5">
      <c r="C35" t="s">
        <v>43</v>
      </c>
      <c r="D35">
        <v>26</v>
      </c>
      <c r="E35" s="1">
        <f t="shared" ca="1" si="0"/>
        <v>45451</v>
      </c>
    </row>
    <row r="36" spans="3:5">
      <c r="C36" t="s">
        <v>75</v>
      </c>
      <c r="D36">
        <v>27</v>
      </c>
      <c r="E36" s="1">
        <f t="shared" ca="1" si="0"/>
        <v>45452</v>
      </c>
    </row>
    <row r="37" spans="3:5">
      <c r="C37" t="s">
        <v>42</v>
      </c>
      <c r="D37">
        <v>28</v>
      </c>
      <c r="E37" s="1">
        <f t="shared" ca="1" si="0"/>
        <v>45453</v>
      </c>
    </row>
    <row r="38" spans="3:5">
      <c r="C38" s="5" t="s">
        <v>785</v>
      </c>
      <c r="D38">
        <v>29</v>
      </c>
      <c r="E38" s="1">
        <f t="shared" ca="1" si="0"/>
        <v>45454</v>
      </c>
    </row>
    <row r="39" spans="3:5">
      <c r="D39">
        <v>30</v>
      </c>
      <c r="E39" s="1">
        <f t="shared" ca="1" si="0"/>
        <v>45455</v>
      </c>
    </row>
    <row r="40" spans="3:5">
      <c r="D40">
        <v>31</v>
      </c>
      <c r="E40" s="1">
        <f t="shared" ca="1" si="0"/>
        <v>45456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212495-C4B0-4767-8C3C-5C0A71C46B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OT request form</vt:lpstr>
      <vt:lpstr>HR data</vt:lpstr>
      <vt:lpstr>Data validation</vt:lpstr>
      <vt:lpstr>'OT request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Thom</dc:creator>
  <cp:lastModifiedBy>Nguyen Thai Son</cp:lastModifiedBy>
  <cp:lastPrinted>2024-05-13T00:59:22Z</cp:lastPrinted>
  <dcterms:created xsi:type="dcterms:W3CDTF">2022-05-02T14:04:36Z</dcterms:created>
  <dcterms:modified xsi:type="dcterms:W3CDTF">2024-05-13T01:36:51Z</dcterms:modified>
</cp:coreProperties>
</file>